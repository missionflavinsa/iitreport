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x\"/>
    </mc:Choice>
  </mc:AlternateContent>
  <xr:revisionPtr revIDLastSave="0" documentId="8_{B77A6136-44D0-4F70-94E2-42197A8BD078}" xr6:coauthVersionLast="47" xr6:coauthVersionMax="47" xr10:uidLastSave="{00000000-0000-0000-0000-000000000000}"/>
  <bookViews>
    <workbookView xWindow="-120" yWindow="-120" windowWidth="19440" windowHeight="15000" xr2:uid="{D0C21CBA-F616-46F0-95F5-7D6723C92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G36" i="1"/>
  <c r="F36" i="1"/>
  <c r="E36" i="1"/>
  <c r="D36" i="1"/>
  <c r="H36" i="1" s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H5" i="1"/>
</calcChain>
</file>

<file path=xl/sharedStrings.xml><?xml version="1.0" encoding="utf-8"?>
<sst xmlns="http://schemas.openxmlformats.org/spreadsheetml/2006/main" count="60" uniqueCount="49">
  <si>
    <t>Rotary Pratishthan's</t>
  </si>
  <si>
    <t>Rotary English Medium School Khed</t>
  </si>
  <si>
    <t>IX B IIT Result 17.05.2025</t>
  </si>
  <si>
    <t>Sr. No.</t>
  </si>
  <si>
    <t>CANDIDATE ID</t>
  </si>
  <si>
    <t>CANDIDATE NAME</t>
  </si>
  <si>
    <t>Phy.</t>
  </si>
  <si>
    <t>Chem</t>
  </si>
  <si>
    <t>Maths</t>
  </si>
  <si>
    <t>Bio</t>
  </si>
  <si>
    <t>Total</t>
  </si>
  <si>
    <t>Aniket Sadashiv Gite</t>
  </si>
  <si>
    <t>Ved Vikrant Dandekar</t>
  </si>
  <si>
    <t>Maryam Mohd.Aslam Shaikh</t>
  </si>
  <si>
    <t>Raaj Dinesh Baviskar</t>
  </si>
  <si>
    <t>Anushka Shailesh Bhaisare</t>
  </si>
  <si>
    <t>Aayush Mandar Vaidya</t>
  </si>
  <si>
    <t>Mira Nilesh Khedekar</t>
  </si>
  <si>
    <t>Sara Ranjit Shivade</t>
  </si>
  <si>
    <t>Sai Krishna Gursale</t>
  </si>
  <si>
    <t>Mrunmayee Yogesh Pawar</t>
  </si>
  <si>
    <t>Nupur Ramnath Sawant</t>
  </si>
  <si>
    <t>Neel Sujit Phage</t>
  </si>
  <si>
    <t>Soham Vijay Nigadekar</t>
  </si>
  <si>
    <t>Suyog Sachin Kambali</t>
  </si>
  <si>
    <t>Veda Paresh Devrukhkar</t>
  </si>
  <si>
    <t>Suvith Vishwanath Devadiga</t>
  </si>
  <si>
    <t>Vanshika Vishwajeet Patne</t>
  </si>
  <si>
    <t>Tanmay Sunil Pimple</t>
  </si>
  <si>
    <t>Rashi Rahul Thakur</t>
  </si>
  <si>
    <t>Atharva Sanjay Kadam</t>
  </si>
  <si>
    <t>Vanshika Vikas Rajput</t>
  </si>
  <si>
    <t>Kshitij Vrajesh Hirave</t>
  </si>
  <si>
    <t>Om Nitin Mane</t>
  </si>
  <si>
    <t>Princy Prashant Kamble</t>
  </si>
  <si>
    <t>Nidhi Shivaji Akhade</t>
  </si>
  <si>
    <t>Jatin Nitin Yadav</t>
  </si>
  <si>
    <t>Tejas Nilesh Dahilkar</t>
  </si>
  <si>
    <t>Dnyanda Sachin Kapse</t>
  </si>
  <si>
    <t>AB</t>
  </si>
  <si>
    <t>Sanskruti Sagar Pagar</t>
  </si>
  <si>
    <t>Mayank Samir Hatkar</t>
  </si>
  <si>
    <t>out of</t>
  </si>
  <si>
    <t>Avertage marks</t>
  </si>
  <si>
    <t>cut off</t>
  </si>
  <si>
    <t>subject teacher sign</t>
  </si>
  <si>
    <t>Class Teacher</t>
  </si>
  <si>
    <t>Exam. In-charge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</si>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</sst>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2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CDFF-F904-4026-B75A-3E05AC38795E}">
  <dimension ref="A1:I41"/>
  <sheetViews>
    <sheetView tabSelected="1" workbookViewId="0">
      <selection activeCell="A42" sqref="A42:XFD354"/>
    </sheetView>
  </sheetViews>
  <sheetFormatPr defaultRowHeight="15" x14ac:dyDescent="0.25"/>
  <cols>
    <col min="1" max="1" width="4.42578125" style="2" bestFit="1" customWidth="1"/>
    <col min="2" max="2" width="10.42578125" style="2" bestFit="1" customWidth="1"/>
    <col min="3" max="3" width="30.28515625" style="16" bestFit="1" customWidth="1"/>
    <col min="4" max="7" width="8.42578125" style="2" bestFit="1" customWidth="1"/>
    <col min="8" max="8" width="9.85546875" style="14" bestFit="1" customWidth="1"/>
    <col min="9" max="16384" width="9.140625" style="2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spans="1:8" s="5" customFormat="1" ht="30" x14ac:dyDescent="0.25">
      <c r="A4" s="3" t="s">
        <v>3</v>
      </c>
      <c r="B4" s="4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6">
        <v>1</v>
      </c>
      <c r="B5" s="7">
        <v>25092019</v>
      </c>
      <c r="C5" s="8" t="s">
        <v>11</v>
      </c>
      <c r="D5" s="6">
        <v>86</v>
      </c>
      <c r="E5" s="6">
        <v>54</v>
      </c>
      <c r="F5" s="6">
        <v>41</v>
      </c>
      <c r="G5" s="6">
        <v>41</v>
      </c>
      <c r="H5" s="9">
        <f t="shared" ref="H5:H37" si="0">SUM(D5:G5)</f>
        <v>222</v>
      </c>
    </row>
    <row r="6" spans="1:8" x14ac:dyDescent="0.25">
      <c r="A6" s="6">
        <f>+A5+1</f>
        <v>2</v>
      </c>
      <c r="B6" s="7">
        <v>25092018</v>
      </c>
      <c r="C6" s="8" t="s">
        <v>12</v>
      </c>
      <c r="D6" s="6">
        <v>73</v>
      </c>
      <c r="E6" s="6">
        <v>48</v>
      </c>
      <c r="F6" s="6">
        <v>41</v>
      </c>
      <c r="G6" s="6">
        <v>49</v>
      </c>
      <c r="H6" s="9">
        <f t="shared" si="0"/>
        <v>211</v>
      </c>
    </row>
    <row r="7" spans="1:8" x14ac:dyDescent="0.25">
      <c r="A7" s="6">
        <f t="shared" ref="A7:A34" si="1">+A6+1</f>
        <v>3</v>
      </c>
      <c r="B7" s="7">
        <v>25092013</v>
      </c>
      <c r="C7" s="8" t="s">
        <v>13</v>
      </c>
      <c r="D7" s="6">
        <v>39</v>
      </c>
      <c r="E7" s="6">
        <v>69</v>
      </c>
      <c r="F7" s="6">
        <v>18</v>
      </c>
      <c r="G7" s="6">
        <v>76</v>
      </c>
      <c r="H7" s="9">
        <f t="shared" si="0"/>
        <v>202</v>
      </c>
    </row>
    <row r="8" spans="1:8" x14ac:dyDescent="0.25">
      <c r="A8" s="6">
        <f t="shared" si="1"/>
        <v>4</v>
      </c>
      <c r="B8" s="7">
        <v>25092016</v>
      </c>
      <c r="C8" s="8" t="s">
        <v>14</v>
      </c>
      <c r="D8" s="6">
        <v>55</v>
      </c>
      <c r="E8" s="6">
        <v>58</v>
      </c>
      <c r="F8" s="6">
        <v>28</v>
      </c>
      <c r="G8" s="6">
        <v>60</v>
      </c>
      <c r="H8" s="9">
        <f t="shared" si="0"/>
        <v>201</v>
      </c>
    </row>
    <row r="9" spans="1:8" x14ac:dyDescent="0.25">
      <c r="A9" s="6">
        <f t="shared" si="1"/>
        <v>5</v>
      </c>
      <c r="B9" s="7">
        <v>25092002</v>
      </c>
      <c r="C9" s="8" t="s">
        <v>15</v>
      </c>
      <c r="D9" s="6">
        <v>29</v>
      </c>
      <c r="E9" s="6">
        <v>68</v>
      </c>
      <c r="F9" s="6">
        <v>23</v>
      </c>
      <c r="G9" s="6">
        <v>79</v>
      </c>
      <c r="H9" s="9">
        <f t="shared" si="0"/>
        <v>199</v>
      </c>
    </row>
    <row r="10" spans="1:8" x14ac:dyDescent="0.25">
      <c r="A10" s="6">
        <f t="shared" si="1"/>
        <v>6</v>
      </c>
      <c r="B10" s="7">
        <v>25092028</v>
      </c>
      <c r="C10" s="8" t="s">
        <v>16</v>
      </c>
      <c r="D10" s="6">
        <v>49</v>
      </c>
      <c r="E10" s="6">
        <v>50</v>
      </c>
      <c r="F10" s="6">
        <v>42</v>
      </c>
      <c r="G10" s="6">
        <v>51</v>
      </c>
      <c r="H10" s="9">
        <f t="shared" si="0"/>
        <v>192</v>
      </c>
    </row>
    <row r="11" spans="1:8" x14ac:dyDescent="0.25">
      <c r="A11" s="6">
        <f t="shared" si="1"/>
        <v>7</v>
      </c>
      <c r="B11" s="7">
        <v>25092007</v>
      </c>
      <c r="C11" s="8" t="s">
        <v>17</v>
      </c>
      <c r="D11" s="6">
        <v>35</v>
      </c>
      <c r="E11" s="6">
        <v>64</v>
      </c>
      <c r="F11" s="6">
        <v>14</v>
      </c>
      <c r="G11" s="6">
        <v>73</v>
      </c>
      <c r="H11" s="9">
        <f t="shared" si="0"/>
        <v>186</v>
      </c>
    </row>
    <row r="12" spans="1:8" x14ac:dyDescent="0.25">
      <c r="A12" s="6">
        <f t="shared" si="1"/>
        <v>8</v>
      </c>
      <c r="B12" s="7">
        <v>25092014</v>
      </c>
      <c r="C12" s="8" t="s">
        <v>18</v>
      </c>
      <c r="D12" s="6">
        <v>33</v>
      </c>
      <c r="E12" s="6">
        <v>51</v>
      </c>
      <c r="F12" s="6">
        <v>32</v>
      </c>
      <c r="G12" s="6">
        <v>67</v>
      </c>
      <c r="H12" s="9">
        <f t="shared" si="0"/>
        <v>183</v>
      </c>
    </row>
    <row r="13" spans="1:8" x14ac:dyDescent="0.25">
      <c r="A13" s="6">
        <f t="shared" si="1"/>
        <v>9</v>
      </c>
      <c r="B13" s="7">
        <v>25092004</v>
      </c>
      <c r="C13" s="8" t="s">
        <v>19</v>
      </c>
      <c r="D13" s="6">
        <v>50</v>
      </c>
      <c r="E13" s="6">
        <v>57</v>
      </c>
      <c r="F13" s="6">
        <v>20</v>
      </c>
      <c r="G13" s="6">
        <v>54</v>
      </c>
      <c r="H13" s="9">
        <f t="shared" si="0"/>
        <v>181</v>
      </c>
    </row>
    <row r="14" spans="1:8" x14ac:dyDescent="0.25">
      <c r="A14" s="6">
        <f t="shared" si="1"/>
        <v>10</v>
      </c>
      <c r="B14" s="7">
        <v>25092010</v>
      </c>
      <c r="C14" s="8" t="s">
        <v>20</v>
      </c>
      <c r="D14" s="6">
        <v>54</v>
      </c>
      <c r="E14" s="6">
        <v>70</v>
      </c>
      <c r="F14" s="6">
        <v>29</v>
      </c>
      <c r="G14" s="6">
        <v>28</v>
      </c>
      <c r="H14" s="9">
        <f t="shared" si="0"/>
        <v>181</v>
      </c>
    </row>
    <row r="15" spans="1:8" x14ac:dyDescent="0.25">
      <c r="A15" s="6">
        <f t="shared" si="1"/>
        <v>11</v>
      </c>
      <c r="B15" s="7">
        <v>25092012</v>
      </c>
      <c r="C15" s="8" t="s">
        <v>21</v>
      </c>
      <c r="D15" s="6">
        <v>25</v>
      </c>
      <c r="E15" s="6">
        <v>75</v>
      </c>
      <c r="F15" s="6">
        <v>20</v>
      </c>
      <c r="G15" s="6">
        <v>40</v>
      </c>
      <c r="H15" s="9">
        <f t="shared" si="0"/>
        <v>160</v>
      </c>
    </row>
    <row r="16" spans="1:8" x14ac:dyDescent="0.25">
      <c r="A16" s="6">
        <f t="shared" si="1"/>
        <v>12</v>
      </c>
      <c r="B16" s="7">
        <v>25092026</v>
      </c>
      <c r="C16" s="8" t="s">
        <v>22</v>
      </c>
      <c r="D16" s="6">
        <v>37</v>
      </c>
      <c r="E16" s="6">
        <v>49</v>
      </c>
      <c r="F16" s="6">
        <v>16</v>
      </c>
      <c r="G16" s="6">
        <v>51</v>
      </c>
      <c r="H16" s="9">
        <f t="shared" si="0"/>
        <v>153</v>
      </c>
    </row>
    <row r="17" spans="1:8" x14ac:dyDescent="0.25">
      <c r="A17" s="6">
        <f t="shared" si="1"/>
        <v>13</v>
      </c>
      <c r="B17" s="7">
        <v>25092025</v>
      </c>
      <c r="C17" s="8" t="s">
        <v>23</v>
      </c>
      <c r="D17" s="6">
        <v>10</v>
      </c>
      <c r="E17" s="6">
        <v>66</v>
      </c>
      <c r="F17" s="6">
        <v>20</v>
      </c>
      <c r="G17" s="6">
        <v>55</v>
      </c>
      <c r="H17" s="9">
        <f t="shared" si="0"/>
        <v>151</v>
      </c>
    </row>
    <row r="18" spans="1:8" x14ac:dyDescent="0.25">
      <c r="A18" s="6">
        <f t="shared" si="1"/>
        <v>14</v>
      </c>
      <c r="B18" s="7">
        <v>25092023</v>
      </c>
      <c r="C18" s="8" t="s">
        <v>24</v>
      </c>
      <c r="D18" s="6">
        <v>47</v>
      </c>
      <c r="E18" s="6">
        <v>54</v>
      </c>
      <c r="F18" s="6">
        <v>18</v>
      </c>
      <c r="G18" s="6">
        <v>28</v>
      </c>
      <c r="H18" s="9">
        <f t="shared" si="0"/>
        <v>147</v>
      </c>
    </row>
    <row r="19" spans="1:8" x14ac:dyDescent="0.25">
      <c r="A19" s="6">
        <f t="shared" si="1"/>
        <v>15</v>
      </c>
      <c r="B19" s="7">
        <v>25092003</v>
      </c>
      <c r="C19" s="8" t="s">
        <v>25</v>
      </c>
      <c r="D19" s="6">
        <v>41</v>
      </c>
      <c r="E19" s="6">
        <v>50</v>
      </c>
      <c r="F19" s="6">
        <v>20</v>
      </c>
      <c r="G19" s="6">
        <v>31</v>
      </c>
      <c r="H19" s="9">
        <f t="shared" si="0"/>
        <v>142</v>
      </c>
    </row>
    <row r="20" spans="1:8" x14ac:dyDescent="0.25">
      <c r="A20" s="6">
        <f t="shared" si="1"/>
        <v>16</v>
      </c>
      <c r="B20" s="7">
        <v>25092030</v>
      </c>
      <c r="C20" s="8" t="s">
        <v>26</v>
      </c>
      <c r="D20" s="6">
        <v>30</v>
      </c>
      <c r="E20" s="6">
        <v>60</v>
      </c>
      <c r="F20" s="6">
        <v>-5</v>
      </c>
      <c r="G20" s="6">
        <v>55</v>
      </c>
      <c r="H20" s="9">
        <f t="shared" si="0"/>
        <v>140</v>
      </c>
    </row>
    <row r="21" spans="1:8" x14ac:dyDescent="0.25">
      <c r="A21" s="6">
        <f t="shared" si="1"/>
        <v>17</v>
      </c>
      <c r="B21" s="7">
        <v>25092009</v>
      </c>
      <c r="C21" s="8" t="s">
        <v>27</v>
      </c>
      <c r="D21" s="6">
        <v>14</v>
      </c>
      <c r="E21" s="6">
        <v>67</v>
      </c>
      <c r="F21" s="6">
        <v>13</v>
      </c>
      <c r="G21" s="6">
        <v>39</v>
      </c>
      <c r="H21" s="9">
        <f t="shared" si="0"/>
        <v>133</v>
      </c>
    </row>
    <row r="22" spans="1:8" x14ac:dyDescent="0.25">
      <c r="A22" s="6">
        <f t="shared" si="1"/>
        <v>18</v>
      </c>
      <c r="B22" s="7">
        <v>25092027</v>
      </c>
      <c r="C22" s="8" t="s">
        <v>28</v>
      </c>
      <c r="D22" s="6">
        <v>31</v>
      </c>
      <c r="E22" s="6">
        <v>40</v>
      </c>
      <c r="F22" s="6">
        <v>11</v>
      </c>
      <c r="G22" s="6">
        <v>46</v>
      </c>
      <c r="H22" s="9">
        <f t="shared" si="0"/>
        <v>128</v>
      </c>
    </row>
    <row r="23" spans="1:8" x14ac:dyDescent="0.25">
      <c r="A23" s="6">
        <f t="shared" si="1"/>
        <v>19</v>
      </c>
      <c r="B23" s="7">
        <v>25092015</v>
      </c>
      <c r="C23" s="8" t="s">
        <v>29</v>
      </c>
      <c r="D23" s="6">
        <v>38</v>
      </c>
      <c r="E23" s="6">
        <v>49</v>
      </c>
      <c r="F23" s="6">
        <v>14</v>
      </c>
      <c r="G23" s="6">
        <v>21</v>
      </c>
      <c r="H23" s="9">
        <f t="shared" si="0"/>
        <v>122</v>
      </c>
    </row>
    <row r="24" spans="1:8" x14ac:dyDescent="0.25">
      <c r="A24" s="6">
        <f t="shared" si="1"/>
        <v>20</v>
      </c>
      <c r="B24" s="7">
        <v>25092022</v>
      </c>
      <c r="C24" s="8" t="s">
        <v>30</v>
      </c>
      <c r="D24" s="6">
        <v>23</v>
      </c>
      <c r="E24" s="6">
        <v>48</v>
      </c>
      <c r="F24" s="6">
        <v>11</v>
      </c>
      <c r="G24" s="6">
        <v>33</v>
      </c>
      <c r="H24" s="9">
        <f t="shared" si="0"/>
        <v>115</v>
      </c>
    </row>
    <row r="25" spans="1:8" x14ac:dyDescent="0.25">
      <c r="A25" s="6">
        <f t="shared" si="1"/>
        <v>21</v>
      </c>
      <c r="B25" s="7">
        <v>25092011</v>
      </c>
      <c r="C25" s="8" t="s">
        <v>31</v>
      </c>
      <c r="D25" s="6">
        <v>7</v>
      </c>
      <c r="E25" s="6">
        <v>41</v>
      </c>
      <c r="F25" s="6">
        <v>19</v>
      </c>
      <c r="G25" s="6">
        <v>35</v>
      </c>
      <c r="H25" s="9">
        <f t="shared" si="0"/>
        <v>102</v>
      </c>
    </row>
    <row r="26" spans="1:8" x14ac:dyDescent="0.25">
      <c r="A26" s="6">
        <f t="shared" si="1"/>
        <v>22</v>
      </c>
      <c r="B26" s="7">
        <v>25092021</v>
      </c>
      <c r="C26" s="8" t="s">
        <v>32</v>
      </c>
      <c r="D26" s="6">
        <v>27</v>
      </c>
      <c r="E26" s="6">
        <v>46</v>
      </c>
      <c r="F26" s="6">
        <v>6</v>
      </c>
      <c r="G26" s="6">
        <v>20</v>
      </c>
      <c r="H26" s="9">
        <f t="shared" si="0"/>
        <v>99</v>
      </c>
    </row>
    <row r="27" spans="1:8" x14ac:dyDescent="0.25">
      <c r="A27" s="6">
        <f t="shared" si="1"/>
        <v>23</v>
      </c>
      <c r="B27" s="7">
        <v>25092024</v>
      </c>
      <c r="C27" s="8" t="s">
        <v>33</v>
      </c>
      <c r="D27" s="6">
        <v>45</v>
      </c>
      <c r="E27" s="6">
        <v>18</v>
      </c>
      <c r="F27" s="6">
        <v>-6</v>
      </c>
      <c r="G27" s="6">
        <v>25</v>
      </c>
      <c r="H27" s="9">
        <f t="shared" si="0"/>
        <v>82</v>
      </c>
    </row>
    <row r="28" spans="1:8" x14ac:dyDescent="0.25">
      <c r="A28" s="6">
        <f t="shared" si="1"/>
        <v>24</v>
      </c>
      <c r="B28" s="7">
        <v>25092005</v>
      </c>
      <c r="C28" s="8" t="s">
        <v>34</v>
      </c>
      <c r="D28" s="6">
        <v>1</v>
      </c>
      <c r="E28" s="6">
        <v>23</v>
      </c>
      <c r="F28" s="6">
        <v>13</v>
      </c>
      <c r="G28" s="6">
        <v>40</v>
      </c>
      <c r="H28" s="9">
        <f t="shared" si="0"/>
        <v>77</v>
      </c>
    </row>
    <row r="29" spans="1:8" x14ac:dyDescent="0.25">
      <c r="A29" s="6">
        <f t="shared" si="1"/>
        <v>25</v>
      </c>
      <c r="B29" s="7">
        <v>25092001</v>
      </c>
      <c r="C29" s="8" t="s">
        <v>35</v>
      </c>
      <c r="D29" s="6">
        <v>18</v>
      </c>
      <c r="E29" s="6">
        <v>26</v>
      </c>
      <c r="F29" s="6">
        <v>11</v>
      </c>
      <c r="G29" s="6">
        <v>14</v>
      </c>
      <c r="H29" s="9">
        <f t="shared" si="0"/>
        <v>69</v>
      </c>
    </row>
    <row r="30" spans="1:8" x14ac:dyDescent="0.25">
      <c r="A30" s="6">
        <f t="shared" si="1"/>
        <v>26</v>
      </c>
      <c r="B30" s="7">
        <v>25092029</v>
      </c>
      <c r="C30" s="8" t="s">
        <v>36</v>
      </c>
      <c r="D30" s="6">
        <v>16</v>
      </c>
      <c r="E30" s="6">
        <v>25</v>
      </c>
      <c r="F30" s="6">
        <v>5</v>
      </c>
      <c r="G30" s="6">
        <v>3</v>
      </c>
      <c r="H30" s="9">
        <f t="shared" si="0"/>
        <v>49</v>
      </c>
    </row>
    <row r="31" spans="1:8" x14ac:dyDescent="0.25">
      <c r="A31" s="6">
        <f t="shared" si="1"/>
        <v>27</v>
      </c>
      <c r="B31" s="7">
        <v>25092017</v>
      </c>
      <c r="C31" s="8" t="s">
        <v>37</v>
      </c>
      <c r="D31" s="6">
        <v>-13</v>
      </c>
      <c r="E31" s="6">
        <v>19</v>
      </c>
      <c r="F31" s="6">
        <v>9</v>
      </c>
      <c r="G31" s="6">
        <v>25</v>
      </c>
      <c r="H31" s="9">
        <f t="shared" si="0"/>
        <v>40</v>
      </c>
    </row>
    <row r="32" spans="1:8" x14ac:dyDescent="0.25">
      <c r="A32" s="6">
        <f t="shared" si="1"/>
        <v>28</v>
      </c>
      <c r="B32" s="7">
        <v>25092006</v>
      </c>
      <c r="C32" s="8" t="s">
        <v>38</v>
      </c>
      <c r="D32" s="6" t="s">
        <v>39</v>
      </c>
      <c r="E32" s="6" t="s">
        <v>39</v>
      </c>
      <c r="F32" s="6" t="s">
        <v>39</v>
      </c>
      <c r="G32" s="6" t="s">
        <v>39</v>
      </c>
      <c r="H32" s="9">
        <f t="shared" si="0"/>
        <v>0</v>
      </c>
    </row>
    <row r="33" spans="1:9" x14ac:dyDescent="0.25">
      <c r="A33" s="6">
        <f t="shared" si="1"/>
        <v>29</v>
      </c>
      <c r="B33" s="7">
        <v>25092008</v>
      </c>
      <c r="C33" s="8" t="s">
        <v>40</v>
      </c>
      <c r="D33" s="6" t="s">
        <v>39</v>
      </c>
      <c r="E33" s="6" t="s">
        <v>39</v>
      </c>
      <c r="F33" s="6" t="s">
        <v>39</v>
      </c>
      <c r="G33" s="6" t="s">
        <v>39</v>
      </c>
      <c r="H33" s="9">
        <f t="shared" si="0"/>
        <v>0</v>
      </c>
    </row>
    <row r="34" spans="1:9" x14ac:dyDescent="0.25">
      <c r="A34" s="6">
        <f t="shared" si="1"/>
        <v>30</v>
      </c>
      <c r="B34" s="7">
        <v>25092020</v>
      </c>
      <c r="C34" s="8" t="s">
        <v>41</v>
      </c>
      <c r="D34" s="6" t="s">
        <v>39</v>
      </c>
      <c r="E34" s="6" t="s">
        <v>39</v>
      </c>
      <c r="F34" s="6" t="s">
        <v>39</v>
      </c>
      <c r="G34" s="6" t="s">
        <v>39</v>
      </c>
      <c r="H34" s="9">
        <f t="shared" si="0"/>
        <v>0</v>
      </c>
    </row>
    <row r="35" spans="1:9" x14ac:dyDescent="0.25">
      <c r="A35" s="10" t="s">
        <v>42</v>
      </c>
      <c r="B35" s="10"/>
      <c r="C35" s="10"/>
      <c r="D35" s="9">
        <v>100</v>
      </c>
      <c r="E35" s="9">
        <v>100</v>
      </c>
      <c r="F35" s="9">
        <v>100</v>
      </c>
      <c r="G35" s="9">
        <v>100</v>
      </c>
      <c r="H35" s="11">
        <f t="shared" si="0"/>
        <v>400</v>
      </c>
    </row>
    <row r="36" spans="1:9" x14ac:dyDescent="0.25">
      <c r="A36" s="10" t="s">
        <v>43</v>
      </c>
      <c r="B36" s="10"/>
      <c r="C36" s="10"/>
      <c r="D36" s="12">
        <f>AVERAGE(D5:D34)</f>
        <v>33.333333333333336</v>
      </c>
      <c r="E36" s="12">
        <f t="shared" ref="E36:G36" si="2">AVERAGE(E5:E34)</f>
        <v>49.814814814814817</v>
      </c>
      <c r="F36" s="12">
        <f t="shared" si="2"/>
        <v>17.888888888888889</v>
      </c>
      <c r="G36" s="12">
        <f t="shared" si="2"/>
        <v>42.185185185185183</v>
      </c>
      <c r="H36" s="13">
        <f t="shared" si="0"/>
        <v>143.22222222222223</v>
      </c>
    </row>
    <row r="37" spans="1:9" x14ac:dyDescent="0.25">
      <c r="A37" s="10" t="s">
        <v>44</v>
      </c>
      <c r="B37" s="10"/>
      <c r="C37" s="10"/>
      <c r="D37" s="9">
        <v>50</v>
      </c>
      <c r="E37" s="9">
        <v>50</v>
      </c>
      <c r="F37" s="9">
        <v>50</v>
      </c>
      <c r="G37" s="9">
        <v>50</v>
      </c>
      <c r="H37" s="11">
        <f t="shared" si="0"/>
        <v>200</v>
      </c>
    </row>
    <row r="38" spans="1:9" x14ac:dyDescent="0.25">
      <c r="A38" s="10" t="s">
        <v>45</v>
      </c>
      <c r="B38" s="10"/>
      <c r="C38" s="10"/>
      <c r="D38" s="9"/>
      <c r="E38" s="9"/>
      <c r="F38" s="9"/>
      <c r="G38" s="9"/>
      <c r="H38" s="9"/>
    </row>
    <row r="39" spans="1:9" x14ac:dyDescent="0.25">
      <c r="C39" s="2"/>
      <c r="I39" s="14"/>
    </row>
    <row r="40" spans="1:9" x14ac:dyDescent="0.25">
      <c r="C40" s="2"/>
      <c r="I40" s="14"/>
    </row>
    <row r="41" spans="1:9" ht="16.5" x14ac:dyDescent="0.25">
      <c r="A41" s="1" t="s">
        <v>46</v>
      </c>
      <c r="B41" s="1"/>
      <c r="C41" s="1" t="s">
        <v>47</v>
      </c>
      <c r="D41" s="1"/>
      <c r="E41" s="1"/>
      <c r="F41" s="1" t="s">
        <v>48</v>
      </c>
      <c r="G41" s="1"/>
      <c r="H41" s="1"/>
      <c r="I41" s="15"/>
    </row>
  </sheetData>
  <mergeCells count="10">
    <mergeCell ref="A38:C38"/>
    <mergeCell ref="A41:B41"/>
    <mergeCell ref="C41:E41"/>
    <mergeCell ref="F41:H41"/>
    <mergeCell ref="A1:H1"/>
    <mergeCell ref="A2:H2"/>
    <mergeCell ref="A3:H3"/>
    <mergeCell ref="A35:C35"/>
    <mergeCell ref="A36:C36"/>
    <mergeCell ref="A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Kashte</dc:creator>
  <cp:lastModifiedBy>Omkar Kashte</cp:lastModifiedBy>
  <dcterms:created xsi:type="dcterms:W3CDTF">2026-02-06T11:21:59Z</dcterms:created>
  <dcterms:modified xsi:type="dcterms:W3CDTF">2026-02-06T11:23:21Z</dcterms:modified>
</cp:coreProperties>
</file>