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IT foundation 2025-26\5.10.2025\RESULT\IX ALL\"/>
    </mc:Choice>
  </mc:AlternateContent>
  <xr:revisionPtr revIDLastSave="0" documentId="13_ncr:1_{8382888E-F92A-40A6-9831-FD49BECBD35A}" xr6:coauthVersionLast="47" xr6:coauthVersionMax="47" xr10:uidLastSave="{00000000-0000-0000-0000-000000000000}"/>
  <bookViews>
    <workbookView xWindow="-120" yWindow="-120" windowWidth="19440" windowHeight="15000" xr2:uid="{BD26FB0F-1D04-4542-BE3C-D95AE3B0430F}"/>
  </bookViews>
  <sheets>
    <sheet name="Sheet2" sheetId="2" r:id="rId1"/>
    <sheet name="Sheet1" sheetId="3" r:id="rId2"/>
  </sheets>
  <definedNames>
    <definedName name="_xlnm._FilterDatabase" localSheetId="0" hidden="1">Sheet2!$J$4:$P$4</definedName>
    <definedName name="_xlnm.Print_Area" localSheetId="0">Sheet2!$A$1:$H$45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7" i="2" l="1"/>
  <c r="F37" i="2"/>
  <c r="G37" i="2"/>
  <c r="H37" i="2"/>
  <c r="D37" i="2"/>
  <c r="H6" i="2"/>
  <c r="H7" i="2"/>
  <c r="H8" i="2"/>
  <c r="H9" i="2"/>
  <c r="H32" i="2"/>
  <c r="H14" i="2"/>
  <c r="H10" i="2"/>
  <c r="H11" i="2"/>
  <c r="H15" i="2"/>
  <c r="H13" i="2"/>
  <c r="H17" i="2"/>
  <c r="H23" i="2"/>
  <c r="H31" i="2"/>
  <c r="H28" i="2"/>
  <c r="H25" i="2"/>
  <c r="H20" i="2"/>
  <c r="H19" i="2"/>
  <c r="H26" i="2"/>
  <c r="H33" i="2"/>
  <c r="H34" i="2"/>
  <c r="H22" i="2"/>
  <c r="H24" i="2"/>
  <c r="H27" i="2"/>
  <c r="H21" i="2"/>
  <c r="H18" i="2"/>
  <c r="H16" i="2"/>
  <c r="H12" i="2"/>
  <c r="H29" i="2"/>
  <c r="H30" i="2"/>
  <c r="H35" i="2"/>
  <c r="H5" i="2"/>
  <c r="H36" i="2"/>
  <c r="H38" i="2" l="1"/>
</calcChain>
</file>

<file path=xl/sharedStrings.xml><?xml version="1.0" encoding="utf-8"?>
<sst xmlns="http://schemas.openxmlformats.org/spreadsheetml/2006/main" count="65" uniqueCount="50">
  <si>
    <t>AB</t>
  </si>
  <si>
    <t>Rotary Pratishthan's</t>
  </si>
  <si>
    <t>Rotary English Medium School Khed</t>
  </si>
  <si>
    <t>Sr. No.</t>
  </si>
  <si>
    <t>Candidate ID</t>
  </si>
  <si>
    <t>Name of the Student</t>
  </si>
  <si>
    <t>Phy</t>
  </si>
  <si>
    <t>Chem</t>
  </si>
  <si>
    <t>Maths</t>
  </si>
  <si>
    <t>Bio</t>
  </si>
  <si>
    <t>Total</t>
  </si>
  <si>
    <t>Average Marks</t>
  </si>
  <si>
    <t>Cut - Off</t>
  </si>
  <si>
    <t>Sub. Teacher 's Sign.</t>
  </si>
  <si>
    <t>Class Teacher</t>
  </si>
  <si>
    <t>Exam In-Charge</t>
  </si>
  <si>
    <t>Principal</t>
  </si>
  <si>
    <t>Out Of</t>
  </si>
  <si>
    <t xml:space="preserve">Nidhi Shivaji Akhade  </t>
  </si>
  <si>
    <t>Veda Paresh Devrukhkar</t>
  </si>
  <si>
    <t>Sai Krishna Gursale</t>
  </si>
  <si>
    <t xml:space="preserve">Princy Prashant Kamble </t>
  </si>
  <si>
    <t xml:space="preserve">Dnyanda Sachin Kapse </t>
  </si>
  <si>
    <t xml:space="preserve">Mira Nilesh Khedekar </t>
  </si>
  <si>
    <t xml:space="preserve">Sanskruti Sagar Pagar </t>
  </si>
  <si>
    <t xml:space="preserve">Vanshika Vishwajeet Patne </t>
  </si>
  <si>
    <t xml:space="preserve">Mrunmayee Yogesh Pawar </t>
  </si>
  <si>
    <t xml:space="preserve">Vanshika Vikas Rajput  </t>
  </si>
  <si>
    <t xml:space="preserve">Nupur Ramnath Sawant  </t>
  </si>
  <si>
    <t>Sara Ranjit Shivade</t>
  </si>
  <si>
    <t>Rashi Rahul Thakur</t>
  </si>
  <si>
    <t xml:space="preserve">Raaj Dinesh Baviskar  </t>
  </si>
  <si>
    <t>Tejas Nilesh Dahilkar</t>
  </si>
  <si>
    <t xml:space="preserve">Ved Vikrant Dandekar </t>
  </si>
  <si>
    <t>Aniket Sadashiv Gite</t>
  </si>
  <si>
    <t>Kshitij Vrajesh Hirave</t>
  </si>
  <si>
    <t xml:space="preserve">Atharva Sanjay Kadam  </t>
  </si>
  <si>
    <t xml:space="preserve">Suyog Sachin Kambali  </t>
  </si>
  <si>
    <t xml:space="preserve">Om Nitin Mane </t>
  </si>
  <si>
    <t>Soham Vijay Nigadekar</t>
  </si>
  <si>
    <t>Neel Sujit Phage</t>
  </si>
  <si>
    <t xml:space="preserve">Tanmay Sunil Pimple  </t>
  </si>
  <si>
    <t>Aayush Mandar Vaidya</t>
  </si>
  <si>
    <t>Jatin Nitin Yadav</t>
  </si>
  <si>
    <t xml:space="preserve">Suvith Vishwanath Devadiga </t>
  </si>
  <si>
    <t>Smarth Shankar Mane</t>
  </si>
  <si>
    <t>Param Jagannath Gavade</t>
  </si>
  <si>
    <t>Heba Sameer Lambade</t>
  </si>
  <si>
    <t xml:space="preserve">Gunjan Sachin Shivade </t>
  </si>
  <si>
    <t>IX B IIT Test Result 05.10.2025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</si>
</sst>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2"/>
      <name val="Calibri Light"/>
      <family val="1"/>
      <scheme val="major"/>
    </font>
    <font>
      <sz val="14"/>
      <name val="Calibri Light"/>
      <family val="2"/>
      <scheme val="major"/>
    </font>
    <font>
      <sz val="14"/>
      <name val="Calibri Light"/>
      <family val="1"/>
      <scheme val="major"/>
    </font>
    <font>
      <sz val="13"/>
      <name val="Calibri Light"/>
      <family val="1"/>
      <scheme val="major"/>
    </font>
    <font>
      <sz val="12"/>
      <name val="Calibri Light"/>
      <family val="2"/>
      <scheme val="maj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1" fontId="4" fillId="2" borderId="1" xfId="1" applyNumberFormat="1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52B97B9E-3267-44B4-9736-44CD9FE4C4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94E1D-093B-49DA-9E13-090228994BFE}">
  <dimension ref="A1:H41"/>
  <sheetViews>
    <sheetView tabSelected="1" view="pageBreakPreview" zoomScale="85" zoomScaleNormal="115" zoomScaleSheetLayoutView="85" workbookViewId="0">
      <selection activeCell="D37" sqref="D37:H37"/>
    </sheetView>
  </sheetViews>
  <sheetFormatPr defaultRowHeight="15" x14ac:dyDescent="0.25"/>
  <cols>
    <col min="1" max="1" width="4.140625" style="3" bestFit="1" customWidth="1"/>
    <col min="2" max="2" width="10" style="3" bestFit="1" customWidth="1"/>
    <col min="3" max="3" width="30.140625" style="3" customWidth="1"/>
    <col min="4" max="4" width="11.28515625" style="3" customWidth="1"/>
    <col min="5" max="5" width="10.85546875" style="3" customWidth="1"/>
    <col min="6" max="6" width="11.140625" style="3" customWidth="1"/>
    <col min="7" max="7" width="11" style="3" customWidth="1"/>
    <col min="8" max="8" width="8.85546875" style="3" customWidth="1"/>
    <col min="9" max="10" width="9.140625" style="3"/>
    <col min="11" max="11" width="33.140625" style="3" bestFit="1" customWidth="1"/>
    <col min="12" max="16384" width="9.140625" style="3"/>
  </cols>
  <sheetData>
    <row r="1" spans="1:8" x14ac:dyDescent="0.25">
      <c r="A1" s="19" t="s">
        <v>1</v>
      </c>
      <c r="B1" s="19"/>
      <c r="C1" s="19"/>
      <c r="D1" s="19"/>
      <c r="E1" s="19"/>
      <c r="F1" s="19"/>
      <c r="G1" s="19"/>
      <c r="H1" s="19"/>
    </row>
    <row r="2" spans="1:8" x14ac:dyDescent="0.25">
      <c r="A2" s="19" t="s">
        <v>2</v>
      </c>
      <c r="B2" s="19"/>
      <c r="C2" s="19"/>
      <c r="D2" s="19"/>
      <c r="E2" s="19"/>
      <c r="F2" s="19"/>
      <c r="G2" s="19"/>
      <c r="H2" s="19"/>
    </row>
    <row r="3" spans="1:8" x14ac:dyDescent="0.25">
      <c r="A3" s="20" t="s">
        <v>49</v>
      </c>
      <c r="B3" s="20"/>
      <c r="C3" s="20"/>
      <c r="D3" s="20"/>
      <c r="E3" s="20"/>
      <c r="F3" s="20"/>
      <c r="G3" s="20"/>
      <c r="H3" s="20"/>
    </row>
    <row r="4" spans="1:8" s="5" customFormat="1" ht="24.75" customHeight="1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1:8" ht="14.25" customHeight="1" x14ac:dyDescent="0.25">
      <c r="A5" s="1">
        <v>1</v>
      </c>
      <c r="B5" s="8">
        <v>25092033</v>
      </c>
      <c r="C5" s="16" t="s">
        <v>47</v>
      </c>
      <c r="D5" s="1">
        <v>82</v>
      </c>
      <c r="E5" s="1">
        <v>56</v>
      </c>
      <c r="F5" s="1">
        <v>95</v>
      </c>
      <c r="G5" s="1">
        <v>85</v>
      </c>
      <c r="H5" s="1">
        <f>SUM(D5:G5)</f>
        <v>318</v>
      </c>
    </row>
    <row r="6" spans="1:8" ht="14.25" customHeight="1" x14ac:dyDescent="0.25">
      <c r="A6" s="1">
        <v>2</v>
      </c>
      <c r="B6" s="8">
        <v>25092031</v>
      </c>
      <c r="C6" s="16" t="s">
        <v>45</v>
      </c>
      <c r="D6" s="1">
        <v>81</v>
      </c>
      <c r="E6" s="1">
        <v>71</v>
      </c>
      <c r="F6" s="1">
        <v>91</v>
      </c>
      <c r="G6" s="1">
        <v>63</v>
      </c>
      <c r="H6" s="1">
        <f>SUM(D6:G6)</f>
        <v>306</v>
      </c>
    </row>
    <row r="7" spans="1:8" ht="14.25" customHeight="1" x14ac:dyDescent="0.25">
      <c r="A7" s="1">
        <v>3</v>
      </c>
      <c r="B7" s="8">
        <v>25092028</v>
      </c>
      <c r="C7" s="16" t="s">
        <v>42</v>
      </c>
      <c r="D7" s="1">
        <v>41</v>
      </c>
      <c r="E7" s="1">
        <v>75</v>
      </c>
      <c r="F7" s="1">
        <v>75</v>
      </c>
      <c r="G7" s="1">
        <v>80</v>
      </c>
      <c r="H7" s="1">
        <f>SUM(D7:G7)</f>
        <v>271</v>
      </c>
    </row>
    <row r="8" spans="1:8" ht="14.25" customHeight="1" x14ac:dyDescent="0.25">
      <c r="A8" s="1">
        <v>4</v>
      </c>
      <c r="B8" s="8">
        <v>25092030</v>
      </c>
      <c r="C8" s="16" t="s">
        <v>44</v>
      </c>
      <c r="D8" s="1">
        <v>50</v>
      </c>
      <c r="E8" s="1">
        <v>45</v>
      </c>
      <c r="F8" s="1">
        <v>75</v>
      </c>
      <c r="G8" s="1">
        <v>80</v>
      </c>
      <c r="H8" s="1">
        <f>SUM(D8:G8)</f>
        <v>250</v>
      </c>
    </row>
    <row r="9" spans="1:8" ht="14.25" customHeight="1" x14ac:dyDescent="0.25">
      <c r="A9" s="1">
        <v>5</v>
      </c>
      <c r="B9" s="8">
        <v>25092007</v>
      </c>
      <c r="C9" s="12" t="s">
        <v>23</v>
      </c>
      <c r="D9" s="1">
        <v>29</v>
      </c>
      <c r="E9" s="1">
        <v>43</v>
      </c>
      <c r="F9" s="1">
        <v>58</v>
      </c>
      <c r="G9" s="1">
        <v>82</v>
      </c>
      <c r="H9" s="1">
        <f>SUM(D9:G9)</f>
        <v>212</v>
      </c>
    </row>
    <row r="10" spans="1:8" ht="14.25" customHeight="1" x14ac:dyDescent="0.25">
      <c r="A10" s="1">
        <v>6</v>
      </c>
      <c r="B10" s="8">
        <v>25092010</v>
      </c>
      <c r="C10" s="11" t="s">
        <v>26</v>
      </c>
      <c r="D10" s="1">
        <v>17</v>
      </c>
      <c r="E10" s="1">
        <v>29</v>
      </c>
      <c r="F10" s="1">
        <v>79</v>
      </c>
      <c r="G10" s="1">
        <v>72</v>
      </c>
      <c r="H10" s="1">
        <f>SUM(D10:G10)</f>
        <v>197</v>
      </c>
    </row>
    <row r="11" spans="1:8" ht="14.25" customHeight="1" x14ac:dyDescent="0.25">
      <c r="A11" s="1">
        <v>7</v>
      </c>
      <c r="B11" s="8">
        <v>25092003</v>
      </c>
      <c r="C11" s="10" t="s">
        <v>19</v>
      </c>
      <c r="D11" s="1">
        <v>15</v>
      </c>
      <c r="E11" s="1">
        <v>49</v>
      </c>
      <c r="F11" s="1">
        <v>51</v>
      </c>
      <c r="G11" s="1">
        <v>72</v>
      </c>
      <c r="H11" s="1">
        <f>SUM(D11:G11)</f>
        <v>187</v>
      </c>
    </row>
    <row r="12" spans="1:8" ht="14.25" customHeight="1" x14ac:dyDescent="0.25">
      <c r="A12" s="1">
        <v>8</v>
      </c>
      <c r="B12" s="8">
        <v>25092026</v>
      </c>
      <c r="C12" s="15" t="s">
        <v>40</v>
      </c>
      <c r="D12" s="1">
        <v>27</v>
      </c>
      <c r="E12" s="1">
        <v>48</v>
      </c>
      <c r="F12" s="1">
        <v>64</v>
      </c>
      <c r="G12" s="1">
        <v>40</v>
      </c>
      <c r="H12" s="1">
        <f>SUM(D12:G12)</f>
        <v>179</v>
      </c>
    </row>
    <row r="13" spans="1:8" ht="14.25" customHeight="1" x14ac:dyDescent="0.25">
      <c r="A13" s="1">
        <v>9</v>
      </c>
      <c r="B13" s="8">
        <v>25092019</v>
      </c>
      <c r="C13" s="16" t="s">
        <v>34</v>
      </c>
      <c r="D13" s="1">
        <v>49</v>
      </c>
      <c r="E13" s="1">
        <v>26</v>
      </c>
      <c r="F13" s="1">
        <v>76</v>
      </c>
      <c r="G13" s="1">
        <v>20</v>
      </c>
      <c r="H13" s="1">
        <f>SUM(D13:G13)</f>
        <v>171</v>
      </c>
    </row>
    <row r="14" spans="1:8" ht="14.25" customHeight="1" x14ac:dyDescent="0.25">
      <c r="A14" s="1">
        <v>10</v>
      </c>
      <c r="B14" s="8">
        <v>25092032</v>
      </c>
      <c r="C14" s="16" t="s">
        <v>46</v>
      </c>
      <c r="D14" s="1">
        <v>9</v>
      </c>
      <c r="E14" s="1">
        <v>24</v>
      </c>
      <c r="F14" s="1">
        <v>40</v>
      </c>
      <c r="G14" s="1">
        <v>80</v>
      </c>
      <c r="H14" s="1">
        <f>SUM(D14:G14)</f>
        <v>153</v>
      </c>
    </row>
    <row r="15" spans="1:8" ht="14.25" customHeight="1" x14ac:dyDescent="0.25">
      <c r="A15" s="1">
        <v>11</v>
      </c>
      <c r="B15" s="8">
        <v>25092016</v>
      </c>
      <c r="C15" s="16" t="s">
        <v>31</v>
      </c>
      <c r="D15" s="1">
        <v>5</v>
      </c>
      <c r="E15" s="1">
        <v>32</v>
      </c>
      <c r="F15" s="1">
        <v>37</v>
      </c>
      <c r="G15" s="1">
        <v>71</v>
      </c>
      <c r="H15" s="1">
        <f>SUM(D15:G15)</f>
        <v>145</v>
      </c>
    </row>
    <row r="16" spans="1:8" ht="14.25" customHeight="1" x14ac:dyDescent="0.25">
      <c r="A16" s="1">
        <v>12</v>
      </c>
      <c r="B16" s="8">
        <v>25092023</v>
      </c>
      <c r="C16" s="10" t="s">
        <v>37</v>
      </c>
      <c r="D16" s="1">
        <v>32</v>
      </c>
      <c r="E16" s="1">
        <v>41</v>
      </c>
      <c r="F16" s="1">
        <v>36</v>
      </c>
      <c r="G16" s="1">
        <v>30</v>
      </c>
      <c r="H16" s="1">
        <f>SUM(D16:G16)</f>
        <v>139</v>
      </c>
    </row>
    <row r="17" spans="1:8" ht="14.25" customHeight="1" x14ac:dyDescent="0.25">
      <c r="A17" s="1">
        <v>13</v>
      </c>
      <c r="B17" s="8">
        <v>25092004</v>
      </c>
      <c r="C17" s="11" t="s">
        <v>20</v>
      </c>
      <c r="D17" s="1">
        <v>10</v>
      </c>
      <c r="E17" s="1">
        <v>11</v>
      </c>
      <c r="F17" s="1">
        <v>65</v>
      </c>
      <c r="G17" s="1">
        <v>42</v>
      </c>
      <c r="H17" s="1">
        <f>SUM(D17:G17)</f>
        <v>128</v>
      </c>
    </row>
    <row r="18" spans="1:8" ht="14.25" customHeight="1" x14ac:dyDescent="0.25">
      <c r="A18" s="1">
        <v>14</v>
      </c>
      <c r="B18" s="8">
        <v>25092022</v>
      </c>
      <c r="C18" s="10" t="s">
        <v>36</v>
      </c>
      <c r="D18" s="1">
        <v>16</v>
      </c>
      <c r="E18" s="1">
        <v>7</v>
      </c>
      <c r="F18" s="1">
        <v>45</v>
      </c>
      <c r="G18" s="1">
        <v>57</v>
      </c>
      <c r="H18" s="1">
        <f>SUM(D18:G18)</f>
        <v>125</v>
      </c>
    </row>
    <row r="19" spans="1:8" ht="14.25" customHeight="1" x14ac:dyDescent="0.25">
      <c r="A19" s="1">
        <v>15</v>
      </c>
      <c r="B19" s="8">
        <v>25092015</v>
      </c>
      <c r="C19" s="10" t="s">
        <v>30</v>
      </c>
      <c r="D19" s="1">
        <v>18</v>
      </c>
      <c r="E19" s="1">
        <v>30</v>
      </c>
      <c r="F19" s="1">
        <v>43</v>
      </c>
      <c r="G19" s="1">
        <v>20</v>
      </c>
      <c r="H19" s="1">
        <f>SUM(D19:G19)</f>
        <v>111</v>
      </c>
    </row>
    <row r="20" spans="1:8" ht="14.25" customHeight="1" x14ac:dyDescent="0.25">
      <c r="A20" s="1">
        <v>16</v>
      </c>
      <c r="B20" s="8">
        <v>25092009</v>
      </c>
      <c r="C20" s="13" t="s">
        <v>25</v>
      </c>
      <c r="D20" s="1">
        <v>25</v>
      </c>
      <c r="E20" s="1">
        <v>18</v>
      </c>
      <c r="F20" s="1">
        <v>31</v>
      </c>
      <c r="G20" s="1">
        <v>35</v>
      </c>
      <c r="H20" s="1">
        <f>SUM(D20:G20)</f>
        <v>109</v>
      </c>
    </row>
    <row r="21" spans="1:8" ht="14.25" customHeight="1" x14ac:dyDescent="0.25">
      <c r="A21" s="1">
        <v>17</v>
      </c>
      <c r="B21" s="8">
        <v>25092021</v>
      </c>
      <c r="C21" s="11" t="s">
        <v>35</v>
      </c>
      <c r="D21" s="1">
        <v>20</v>
      </c>
      <c r="E21" s="1">
        <v>29</v>
      </c>
      <c r="F21" s="1">
        <v>32</v>
      </c>
      <c r="G21" s="1">
        <v>17</v>
      </c>
      <c r="H21" s="1">
        <f>SUM(D21:G21)</f>
        <v>98</v>
      </c>
    </row>
    <row r="22" spans="1:8" ht="14.25" customHeight="1" x14ac:dyDescent="0.25">
      <c r="A22" s="1">
        <v>18</v>
      </c>
      <c r="B22" s="8">
        <v>25092012</v>
      </c>
      <c r="C22" s="14" t="s">
        <v>28</v>
      </c>
      <c r="D22" s="1">
        <v>-2</v>
      </c>
      <c r="E22" s="1">
        <v>25</v>
      </c>
      <c r="F22" s="1">
        <v>32</v>
      </c>
      <c r="G22" s="1">
        <v>41</v>
      </c>
      <c r="H22" s="1">
        <f>SUM(D22:G22)</f>
        <v>96</v>
      </c>
    </row>
    <row r="23" spans="1:8" ht="14.25" customHeight="1" x14ac:dyDescent="0.25">
      <c r="A23" s="1">
        <v>19</v>
      </c>
      <c r="B23" s="8">
        <v>25092006</v>
      </c>
      <c r="C23" s="11" t="s">
        <v>22</v>
      </c>
      <c r="D23" s="1">
        <v>16</v>
      </c>
      <c r="E23" s="1">
        <v>19</v>
      </c>
      <c r="F23" s="1">
        <v>10</v>
      </c>
      <c r="G23" s="1">
        <v>42</v>
      </c>
      <c r="H23" s="1">
        <f>SUM(D23:G23)</f>
        <v>87</v>
      </c>
    </row>
    <row r="24" spans="1:8" ht="14.25" customHeight="1" x14ac:dyDescent="0.25">
      <c r="A24" s="1">
        <v>20</v>
      </c>
      <c r="B24" s="8">
        <v>25092014</v>
      </c>
      <c r="C24" s="15" t="s">
        <v>29</v>
      </c>
      <c r="D24" s="1">
        <v>17</v>
      </c>
      <c r="E24" s="1">
        <v>10</v>
      </c>
      <c r="F24" s="1">
        <v>44</v>
      </c>
      <c r="G24" s="1">
        <v>14</v>
      </c>
      <c r="H24" s="1">
        <f>SUM(D24:G24)</f>
        <v>85</v>
      </c>
    </row>
    <row r="25" spans="1:8" ht="14.25" customHeight="1" x14ac:dyDescent="0.25">
      <c r="A25" s="1">
        <v>21</v>
      </c>
      <c r="B25" s="8">
        <v>25092011</v>
      </c>
      <c r="C25" s="10" t="s">
        <v>27</v>
      </c>
      <c r="D25" s="1">
        <v>12</v>
      </c>
      <c r="E25" s="1">
        <v>18</v>
      </c>
      <c r="F25" s="1">
        <v>13</v>
      </c>
      <c r="G25" s="1">
        <v>41</v>
      </c>
      <c r="H25" s="1">
        <f>SUM(D25:G25)</f>
        <v>84</v>
      </c>
    </row>
    <row r="26" spans="1:8" ht="14.25" customHeight="1" x14ac:dyDescent="0.25">
      <c r="A26" s="1">
        <v>22</v>
      </c>
      <c r="B26" s="8">
        <v>25092024</v>
      </c>
      <c r="C26" s="10" t="s">
        <v>38</v>
      </c>
      <c r="D26" s="1">
        <v>3</v>
      </c>
      <c r="E26" s="1">
        <v>11</v>
      </c>
      <c r="F26" s="1">
        <v>24</v>
      </c>
      <c r="G26" s="1">
        <v>46</v>
      </c>
      <c r="H26" s="1">
        <f>SUM(D26:G26)</f>
        <v>84</v>
      </c>
    </row>
    <row r="27" spans="1:8" ht="14.25" customHeight="1" x14ac:dyDescent="0.25">
      <c r="A27" s="1">
        <v>23</v>
      </c>
      <c r="B27" s="8">
        <v>25092017</v>
      </c>
      <c r="C27" s="10" t="s">
        <v>32</v>
      </c>
      <c r="D27" s="1">
        <v>18</v>
      </c>
      <c r="E27" s="1">
        <v>16</v>
      </c>
      <c r="F27" s="1">
        <v>29</v>
      </c>
      <c r="G27" s="1">
        <v>20</v>
      </c>
      <c r="H27" s="1">
        <f>SUM(D27:G27)</f>
        <v>83</v>
      </c>
    </row>
    <row r="28" spans="1:8" ht="14.25" customHeight="1" x14ac:dyDescent="0.25">
      <c r="A28" s="1">
        <v>24</v>
      </c>
      <c r="B28" s="8">
        <v>25092018</v>
      </c>
      <c r="C28" s="11" t="s">
        <v>33</v>
      </c>
      <c r="D28" s="1">
        <v>7</v>
      </c>
      <c r="E28" s="1">
        <v>35</v>
      </c>
      <c r="F28" s="1">
        <v>22</v>
      </c>
      <c r="G28" s="1">
        <v>18</v>
      </c>
      <c r="H28" s="1">
        <f>SUM(D28:G28)</f>
        <v>82</v>
      </c>
    </row>
    <row r="29" spans="1:8" ht="14.25" customHeight="1" x14ac:dyDescent="0.25">
      <c r="A29" s="1">
        <v>25</v>
      </c>
      <c r="B29" s="8">
        <v>25092027</v>
      </c>
      <c r="C29" s="10" t="s">
        <v>41</v>
      </c>
      <c r="D29" s="1">
        <v>4</v>
      </c>
      <c r="E29" s="1">
        <v>28</v>
      </c>
      <c r="F29" s="1">
        <v>25</v>
      </c>
      <c r="G29" s="1">
        <v>22</v>
      </c>
      <c r="H29" s="1">
        <f>SUM(D29:G29)</f>
        <v>79</v>
      </c>
    </row>
    <row r="30" spans="1:8" ht="14.25" customHeight="1" x14ac:dyDescent="0.25">
      <c r="A30" s="1">
        <v>26</v>
      </c>
      <c r="B30" s="8">
        <v>25092029</v>
      </c>
      <c r="C30" s="16" t="s">
        <v>43</v>
      </c>
      <c r="D30" s="1">
        <v>1</v>
      </c>
      <c r="E30" s="1">
        <v>7</v>
      </c>
      <c r="F30" s="1">
        <v>18</v>
      </c>
      <c r="G30" s="1">
        <v>50</v>
      </c>
      <c r="H30" s="1">
        <f>SUM(D30:G30)</f>
        <v>76</v>
      </c>
    </row>
    <row r="31" spans="1:8" ht="14.25" customHeight="1" x14ac:dyDescent="0.25">
      <c r="A31" s="1">
        <v>27</v>
      </c>
      <c r="B31" s="8">
        <v>25092008</v>
      </c>
      <c r="C31" s="9" t="s">
        <v>24</v>
      </c>
      <c r="D31" s="1">
        <v>0</v>
      </c>
      <c r="E31" s="1">
        <v>8</v>
      </c>
      <c r="F31" s="1">
        <v>21</v>
      </c>
      <c r="G31" s="1">
        <v>12</v>
      </c>
      <c r="H31" s="1">
        <f>SUM(D31:G31)</f>
        <v>41</v>
      </c>
    </row>
    <row r="32" spans="1:8" ht="14.25" customHeight="1" x14ac:dyDescent="0.25">
      <c r="A32" s="1">
        <v>28</v>
      </c>
      <c r="B32" s="8">
        <v>25092025</v>
      </c>
      <c r="C32" s="10" t="s">
        <v>39</v>
      </c>
      <c r="D32" s="1" t="s">
        <v>0</v>
      </c>
      <c r="E32" s="1" t="s">
        <v>0</v>
      </c>
      <c r="F32" s="1" t="s">
        <v>0</v>
      </c>
      <c r="G32" s="1" t="s">
        <v>0</v>
      </c>
      <c r="H32" s="1">
        <f>SUM(D32:G32)</f>
        <v>0</v>
      </c>
    </row>
    <row r="33" spans="1:8" ht="14.25" customHeight="1" x14ac:dyDescent="0.25">
      <c r="A33" s="1">
        <v>29</v>
      </c>
      <c r="B33" s="8">
        <v>25092001</v>
      </c>
      <c r="C33" s="9" t="s">
        <v>18</v>
      </c>
      <c r="D33" s="1" t="s">
        <v>0</v>
      </c>
      <c r="E33" s="1" t="s">
        <v>0</v>
      </c>
      <c r="F33" s="1" t="s">
        <v>0</v>
      </c>
      <c r="G33" s="1" t="s">
        <v>0</v>
      </c>
      <c r="H33" s="1">
        <f>SUM(D33:G33)</f>
        <v>0</v>
      </c>
    </row>
    <row r="34" spans="1:8" ht="14.25" customHeight="1" x14ac:dyDescent="0.25">
      <c r="A34" s="1">
        <v>30</v>
      </c>
      <c r="B34" s="8">
        <v>25092005</v>
      </c>
      <c r="C34" s="9" t="s">
        <v>21</v>
      </c>
      <c r="D34" s="1" t="s">
        <v>0</v>
      </c>
      <c r="E34" s="1" t="s">
        <v>0</v>
      </c>
      <c r="F34" s="1" t="s">
        <v>0</v>
      </c>
      <c r="G34" s="1" t="s">
        <v>0</v>
      </c>
      <c r="H34" s="1">
        <f>SUM(D34:G34)</f>
        <v>0</v>
      </c>
    </row>
    <row r="35" spans="1:8" ht="14.25" customHeight="1" x14ac:dyDescent="0.25">
      <c r="A35" s="1">
        <v>31</v>
      </c>
      <c r="B35" s="8">
        <v>25093014</v>
      </c>
      <c r="C35" s="17" t="s">
        <v>48</v>
      </c>
      <c r="D35" s="1" t="s">
        <v>0</v>
      </c>
      <c r="E35" s="1" t="s">
        <v>0</v>
      </c>
      <c r="F35" s="1" t="s">
        <v>0</v>
      </c>
      <c r="G35" s="1" t="s">
        <v>0</v>
      </c>
      <c r="H35" s="1">
        <f>SUM(D35:G35)</f>
        <v>0</v>
      </c>
    </row>
    <row r="36" spans="1:8" ht="14.25" customHeight="1" x14ac:dyDescent="0.25">
      <c r="A36" s="18" t="s">
        <v>17</v>
      </c>
      <c r="B36" s="18"/>
      <c r="C36" s="18"/>
      <c r="D36" s="6">
        <v>100</v>
      </c>
      <c r="E36" s="6">
        <v>100</v>
      </c>
      <c r="F36" s="6">
        <v>100</v>
      </c>
      <c r="G36" s="6">
        <v>100</v>
      </c>
      <c r="H36" s="6">
        <f t="shared" ref="H36" si="0">SUM(D36:G36)</f>
        <v>400</v>
      </c>
    </row>
    <row r="37" spans="1:8" x14ac:dyDescent="0.25">
      <c r="A37" s="18" t="s">
        <v>11</v>
      </c>
      <c r="B37" s="18"/>
      <c r="C37" s="18"/>
      <c r="D37" s="7">
        <f>AVERAGE(D5:D31)</f>
        <v>22.296296296296298</v>
      </c>
      <c r="E37" s="7">
        <f t="shared" ref="E37:H37" si="1">AVERAGE(E5:E31)</f>
        <v>30.037037037037038</v>
      </c>
      <c r="F37" s="7">
        <f t="shared" si="1"/>
        <v>45.592592592592595</v>
      </c>
      <c r="G37" s="7">
        <f t="shared" si="1"/>
        <v>46.370370370370374</v>
      </c>
      <c r="H37" s="7">
        <f t="shared" si="1"/>
        <v>144.2962962962963</v>
      </c>
    </row>
    <row r="38" spans="1:8" x14ac:dyDescent="0.25">
      <c r="A38" s="18" t="s">
        <v>12</v>
      </c>
      <c r="B38" s="18"/>
      <c r="C38" s="18"/>
      <c r="D38" s="6">
        <v>50</v>
      </c>
      <c r="E38" s="6">
        <v>50</v>
      </c>
      <c r="F38" s="6">
        <v>50</v>
      </c>
      <c r="G38" s="6">
        <v>50</v>
      </c>
      <c r="H38" s="6">
        <f t="shared" ref="H38" si="2">SUM(D38:G38)</f>
        <v>200</v>
      </c>
    </row>
    <row r="39" spans="1:8" x14ac:dyDescent="0.25">
      <c r="A39" s="18" t="s">
        <v>13</v>
      </c>
      <c r="B39" s="18"/>
      <c r="C39" s="18"/>
      <c r="D39" s="6"/>
      <c r="E39" s="6"/>
      <c r="F39" s="6"/>
      <c r="G39" s="6"/>
      <c r="H39" s="6"/>
    </row>
    <row r="40" spans="1:8" x14ac:dyDescent="0.25">
      <c r="A40" s="2"/>
      <c r="B40" s="2"/>
      <c r="C40" s="2"/>
      <c r="D40" s="2"/>
      <c r="E40" s="2"/>
      <c r="F40" s="2"/>
      <c r="G40" s="2"/>
      <c r="H40" s="2"/>
    </row>
    <row r="41" spans="1:8" x14ac:dyDescent="0.25">
      <c r="A41" s="2" t="s">
        <v>14</v>
      </c>
      <c r="B41" s="2"/>
      <c r="C41" s="2" t="s">
        <v>15</v>
      </c>
      <c r="D41" s="2"/>
      <c r="E41" s="2"/>
      <c r="F41" s="2" t="s">
        <v>16</v>
      </c>
      <c r="G41" s="2"/>
      <c r="H41" s="2"/>
    </row>
  </sheetData>
  <autoFilter ref="J4:P4" xr:uid="{81C94E1D-093B-49DA-9E13-090228994BFE}">
    <sortState xmlns:xlrd2="http://schemas.microsoft.com/office/spreadsheetml/2017/richdata2" ref="J5:P35">
      <sortCondition descending="1" ref="P4"/>
    </sortState>
  </autoFilter>
  <sortState xmlns:xlrd2="http://schemas.microsoft.com/office/spreadsheetml/2017/richdata2" ref="A5:H35">
    <sortCondition descending="1" ref="H5:H35"/>
  </sortState>
  <mergeCells count="7">
    <mergeCell ref="A39:C39"/>
    <mergeCell ref="A1:H1"/>
    <mergeCell ref="A2:H2"/>
    <mergeCell ref="A3:H3"/>
    <mergeCell ref="A36:C36"/>
    <mergeCell ref="A37:C37"/>
    <mergeCell ref="A38:C38"/>
  </mergeCells>
  <pageMargins left="0.19685039370078741" right="0.19685039370078741" top="0.19685039370078741" bottom="0.19685039370078741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4BCB2-413E-45BB-AEB7-1C109B03AC5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Sheet1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Sir</dc:creator>
  <cp:lastModifiedBy>Omkar Kashte</cp:lastModifiedBy>
  <cp:lastPrinted>2025-09-16T04:32:21Z</cp:lastPrinted>
  <dcterms:created xsi:type="dcterms:W3CDTF">2025-04-11T10:43:12Z</dcterms:created>
  <dcterms:modified xsi:type="dcterms:W3CDTF">2025-10-14T09:38:07Z</dcterms:modified>
</cp:coreProperties>
</file>