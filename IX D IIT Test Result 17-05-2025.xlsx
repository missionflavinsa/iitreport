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IT foundation 2025-26\IX_Results\IX_D_Results\"/>
    </mc:Choice>
  </mc:AlternateContent>
  <xr:revisionPtr revIDLastSave="0" documentId="13_ncr:1_{CD912D7C-044F-4BF3-9758-B2B17BB67A02}" xr6:coauthVersionLast="47" xr6:coauthVersionMax="47" xr10:uidLastSave="{00000000-0000-0000-0000-000000000000}"/>
  <bookViews>
    <workbookView xWindow="-120" yWindow="-120" windowWidth="21840" windowHeight="13140" xr2:uid="{C898E078-C777-4D43-A349-4222B94D6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G46" i="1"/>
  <c r="F46" i="1"/>
  <c r="E46" i="1"/>
  <c r="D46" i="1"/>
  <c r="H4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H46" i="1" l="1"/>
</calcChain>
</file>

<file path=xl/sharedStrings.xml><?xml version="1.0" encoding="utf-8"?>
<sst xmlns="http://schemas.openxmlformats.org/spreadsheetml/2006/main" count="83" uniqueCount="59">
  <si>
    <t>Rotary Pratishthan's</t>
  </si>
  <si>
    <t>Rotary English Medium School Khed</t>
  </si>
  <si>
    <t>IX D IIT Result 17.05.2025</t>
  </si>
  <si>
    <t>Sr. No.</t>
  </si>
  <si>
    <t>CANDIDATE ID</t>
  </si>
  <si>
    <t>CANDIDATE NAME</t>
  </si>
  <si>
    <t>Phy</t>
  </si>
  <si>
    <t>Chem</t>
  </si>
  <si>
    <t>Maths</t>
  </si>
  <si>
    <t>Bio</t>
  </si>
  <si>
    <t>Total</t>
  </si>
  <si>
    <t>Sai Sanjay Dalvi</t>
  </si>
  <si>
    <t>Reva Tejas Patankar</t>
  </si>
  <si>
    <t>Arjun Vijay Khamkar</t>
  </si>
  <si>
    <t>Komal Santosh Kasar</t>
  </si>
  <si>
    <t>Shourya Yogiraj Chalke</t>
  </si>
  <si>
    <t>Manas Gangadhar Yadmal</t>
  </si>
  <si>
    <t>Dibyankit Chittaranjan Jena</t>
  </si>
  <si>
    <t>Manavi Manish Upadhyay</t>
  </si>
  <si>
    <t>Harshita Hemant Vadke</t>
  </si>
  <si>
    <t>Ishwar Sandip Chavan</t>
  </si>
  <si>
    <t>Akshara Ajayraj Bal</t>
  </si>
  <si>
    <t>Niharika Ajit Jadhav</t>
  </si>
  <si>
    <t>Adwait Subhash Jaitapkar</t>
  </si>
  <si>
    <t>Sarthak Shashikant Dhebe</t>
  </si>
  <si>
    <t>Riya Sudhir Ghoderao</t>
  </si>
  <si>
    <t>Zuhaib Munir Sarguroh</t>
  </si>
  <si>
    <t>Ayush Vishal Sangar</t>
  </si>
  <si>
    <t>Smit Sudhir Tambe</t>
  </si>
  <si>
    <t>Mihir Arun Shinde</t>
  </si>
  <si>
    <t>Rayhaan Jakir Ainarkar</t>
  </si>
  <si>
    <t>Daksh Abhay Jadhav</t>
  </si>
  <si>
    <t>Anannya Nilesh Donde</t>
  </si>
  <si>
    <t>Arya Anant More</t>
  </si>
  <si>
    <t>Rugved Dilip Kadam</t>
  </si>
  <si>
    <t>Sanvi Sandeep Joshi</t>
  </si>
  <si>
    <t>Aditya Prabodh Chavan</t>
  </si>
  <si>
    <t>Tanmay Prabhakar Shigvan</t>
  </si>
  <si>
    <t>Tanishka Rupesh shinde</t>
  </si>
  <si>
    <t>Aayush Vijay Chhapare</t>
  </si>
  <si>
    <t>Digwijay Nitin Dhumal</t>
  </si>
  <si>
    <t>Shivam Virendra Chikhale</t>
  </si>
  <si>
    <t>Swayam Santosh More</t>
  </si>
  <si>
    <t>Pranav Rajendra Vitmal</t>
  </si>
  <si>
    <t>Rishikesh Dhondu Shinde</t>
  </si>
  <si>
    <t>Razeen Zakirhusain Moosa</t>
  </si>
  <si>
    <t>Reva Sandeep Shahane</t>
  </si>
  <si>
    <t>AB</t>
  </si>
  <si>
    <t>Devika Rajaram Shityalkar</t>
  </si>
  <si>
    <t>Sarvesh Shrikant Damale</t>
  </si>
  <si>
    <t>Sanket Shivaji Rathod</t>
  </si>
  <si>
    <t>Aaditya Gopichand Waghmare</t>
  </si>
  <si>
    <t>out of</t>
  </si>
  <si>
    <t>Avertage marks</t>
  </si>
  <si>
    <t>cut off</t>
  </si>
  <si>
    <t>subject teacher sign</t>
  </si>
  <si>
    <t>Class Teacher</t>
  </si>
  <si>
    <t>Exam. In-charge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</si>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</sst>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C495-2545-4C57-BE4A-D6EFA41B0455}">
  <dimension ref="A1:H52"/>
  <sheetViews>
    <sheetView tabSelected="1" workbookViewId="0">
      <selection activeCell="D5" sqref="D5:H44"/>
    </sheetView>
  </sheetViews>
  <sheetFormatPr defaultRowHeight="15" x14ac:dyDescent="0.25"/>
  <cols>
    <col min="2" max="2" width="16.140625" bestFit="1" customWidth="1"/>
    <col min="3" max="3" width="26.85546875" bestFit="1" customWidth="1"/>
  </cols>
  <sheetData>
    <row r="1" spans="1:8" x14ac:dyDescent="0.25">
      <c r="A1" s="23" t="s">
        <v>0</v>
      </c>
      <c r="B1" s="24"/>
      <c r="C1" s="24"/>
      <c r="D1" s="24"/>
      <c r="E1" s="24"/>
      <c r="F1" s="24"/>
      <c r="G1" s="24"/>
      <c r="H1" s="25"/>
    </row>
    <row r="2" spans="1:8" x14ac:dyDescent="0.25">
      <c r="A2" s="26" t="s">
        <v>1</v>
      </c>
      <c r="B2" s="27"/>
      <c r="C2" s="27"/>
      <c r="D2" s="27"/>
      <c r="E2" s="27"/>
      <c r="F2" s="27"/>
      <c r="G2" s="27"/>
      <c r="H2" s="28"/>
    </row>
    <row r="3" spans="1:8" x14ac:dyDescent="0.25">
      <c r="A3" s="29" t="s">
        <v>2</v>
      </c>
      <c r="B3" s="30"/>
      <c r="C3" s="30"/>
      <c r="D3" s="30"/>
      <c r="E3" s="30"/>
      <c r="F3" s="30"/>
      <c r="G3" s="30"/>
      <c r="H3" s="31"/>
    </row>
    <row r="4" spans="1:8" ht="21.75" customHeight="1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</row>
    <row r="5" spans="1:8" x14ac:dyDescent="0.25">
      <c r="A5" s="7">
        <v>1</v>
      </c>
      <c r="B5" s="8">
        <v>25094020</v>
      </c>
      <c r="C5" s="8" t="s">
        <v>11</v>
      </c>
      <c r="D5" s="9">
        <v>71</v>
      </c>
      <c r="E5" s="9">
        <v>85</v>
      </c>
      <c r="F5" s="9">
        <v>81</v>
      </c>
      <c r="G5" s="9">
        <v>66</v>
      </c>
      <c r="H5" s="10">
        <v>303</v>
      </c>
    </row>
    <row r="6" spans="1:8" x14ac:dyDescent="0.25">
      <c r="A6" s="7">
        <f t="shared" ref="A6:A44" si="0">+A5+1</f>
        <v>2</v>
      </c>
      <c r="B6" s="8">
        <v>25094008</v>
      </c>
      <c r="C6" s="8" t="s">
        <v>12</v>
      </c>
      <c r="D6" s="9">
        <v>71</v>
      </c>
      <c r="E6" s="9">
        <v>90</v>
      </c>
      <c r="F6" s="9">
        <v>63</v>
      </c>
      <c r="G6" s="9">
        <v>76</v>
      </c>
      <c r="H6" s="10">
        <v>300</v>
      </c>
    </row>
    <row r="7" spans="1:8" x14ac:dyDescent="0.25">
      <c r="A7" s="7">
        <f t="shared" si="0"/>
        <v>3</v>
      </c>
      <c r="B7" s="8">
        <v>25094028</v>
      </c>
      <c r="C7" s="8" t="s">
        <v>13</v>
      </c>
      <c r="D7" s="9">
        <v>77</v>
      </c>
      <c r="E7" s="9">
        <v>71</v>
      </c>
      <c r="F7" s="9">
        <v>78</v>
      </c>
      <c r="G7" s="9">
        <v>71</v>
      </c>
      <c r="H7" s="10">
        <v>297</v>
      </c>
    </row>
    <row r="8" spans="1:8" x14ac:dyDescent="0.25">
      <c r="A8" s="7">
        <f t="shared" si="0"/>
        <v>4</v>
      </c>
      <c r="B8" s="8">
        <v>25094006</v>
      </c>
      <c r="C8" s="8" t="s">
        <v>14</v>
      </c>
      <c r="D8" s="9">
        <v>67</v>
      </c>
      <c r="E8" s="9">
        <v>91</v>
      </c>
      <c r="F8" s="9">
        <v>46</v>
      </c>
      <c r="G8" s="9">
        <v>72</v>
      </c>
      <c r="H8" s="10">
        <v>276</v>
      </c>
    </row>
    <row r="9" spans="1:8" x14ac:dyDescent="0.25">
      <c r="A9" s="7">
        <f t="shared" si="0"/>
        <v>5</v>
      </c>
      <c r="B9" s="8">
        <v>25094015</v>
      </c>
      <c r="C9" s="8" t="s">
        <v>15</v>
      </c>
      <c r="D9" s="9">
        <v>70</v>
      </c>
      <c r="E9" s="9">
        <v>80</v>
      </c>
      <c r="F9" s="9">
        <v>60</v>
      </c>
      <c r="G9" s="9">
        <v>66</v>
      </c>
      <c r="H9" s="10">
        <v>276</v>
      </c>
    </row>
    <row r="10" spans="1:8" x14ac:dyDescent="0.25">
      <c r="A10" s="7">
        <f t="shared" si="0"/>
        <v>6</v>
      </c>
      <c r="B10" s="8">
        <v>25094040</v>
      </c>
      <c r="C10" s="8" t="s">
        <v>16</v>
      </c>
      <c r="D10" s="9">
        <v>54</v>
      </c>
      <c r="E10" s="9">
        <v>75</v>
      </c>
      <c r="F10" s="9">
        <v>43</v>
      </c>
      <c r="G10" s="9">
        <v>66</v>
      </c>
      <c r="H10" s="10">
        <v>238</v>
      </c>
    </row>
    <row r="11" spans="1:8" x14ac:dyDescent="0.25">
      <c r="A11" s="7">
        <f t="shared" si="0"/>
        <v>7</v>
      </c>
      <c r="B11" s="8">
        <v>25094026</v>
      </c>
      <c r="C11" s="8" t="s">
        <v>17</v>
      </c>
      <c r="D11" s="9">
        <v>56</v>
      </c>
      <c r="E11" s="9">
        <v>70</v>
      </c>
      <c r="F11" s="9">
        <v>52</v>
      </c>
      <c r="G11" s="9">
        <v>51</v>
      </c>
      <c r="H11" s="10">
        <v>229</v>
      </c>
    </row>
    <row r="12" spans="1:8" x14ac:dyDescent="0.25">
      <c r="A12" s="7">
        <f t="shared" si="0"/>
        <v>8</v>
      </c>
      <c r="B12" s="8">
        <v>25094012</v>
      </c>
      <c r="C12" s="8" t="s">
        <v>18</v>
      </c>
      <c r="D12" s="9">
        <v>47</v>
      </c>
      <c r="E12" s="9">
        <v>55</v>
      </c>
      <c r="F12" s="9">
        <v>50</v>
      </c>
      <c r="G12" s="9">
        <v>71</v>
      </c>
      <c r="H12" s="10">
        <v>223</v>
      </c>
    </row>
    <row r="13" spans="1:8" x14ac:dyDescent="0.25">
      <c r="A13" s="7">
        <f t="shared" si="0"/>
        <v>9</v>
      </c>
      <c r="B13" s="8">
        <v>25094013</v>
      </c>
      <c r="C13" s="8" t="s">
        <v>19</v>
      </c>
      <c r="D13" s="9">
        <v>52</v>
      </c>
      <c r="E13" s="9">
        <v>61</v>
      </c>
      <c r="F13" s="9">
        <v>40</v>
      </c>
      <c r="G13" s="9">
        <v>66</v>
      </c>
      <c r="H13" s="10">
        <v>219</v>
      </c>
    </row>
    <row r="14" spans="1:8" x14ac:dyDescent="0.25">
      <c r="A14" s="7">
        <f t="shared" si="0"/>
        <v>10</v>
      </c>
      <c r="B14" s="8">
        <v>25094017</v>
      </c>
      <c r="C14" s="8" t="s">
        <v>20</v>
      </c>
      <c r="D14" s="9">
        <v>32</v>
      </c>
      <c r="E14" s="9">
        <v>70</v>
      </c>
      <c r="F14" s="9">
        <v>63</v>
      </c>
      <c r="G14" s="9">
        <v>52</v>
      </c>
      <c r="H14" s="10">
        <v>217</v>
      </c>
    </row>
    <row r="15" spans="1:8" x14ac:dyDescent="0.25">
      <c r="A15" s="7">
        <f t="shared" si="0"/>
        <v>11</v>
      </c>
      <c r="B15" s="8">
        <v>25094001</v>
      </c>
      <c r="C15" s="8" t="s">
        <v>21</v>
      </c>
      <c r="D15" s="9">
        <v>45</v>
      </c>
      <c r="E15" s="9">
        <v>70</v>
      </c>
      <c r="F15" s="9">
        <v>39</v>
      </c>
      <c r="G15" s="9">
        <v>61</v>
      </c>
      <c r="H15" s="10">
        <v>215</v>
      </c>
    </row>
    <row r="16" spans="1:8" x14ac:dyDescent="0.25">
      <c r="A16" s="7">
        <f t="shared" si="0"/>
        <v>12</v>
      </c>
      <c r="B16" s="8">
        <v>25094004</v>
      </c>
      <c r="C16" s="8" t="s">
        <v>22</v>
      </c>
      <c r="D16" s="9">
        <v>39</v>
      </c>
      <c r="E16" s="9">
        <v>85</v>
      </c>
      <c r="F16" s="9">
        <v>21</v>
      </c>
      <c r="G16" s="9">
        <v>62</v>
      </c>
      <c r="H16" s="10">
        <v>207</v>
      </c>
    </row>
    <row r="17" spans="1:8" x14ac:dyDescent="0.25">
      <c r="A17" s="7">
        <f t="shared" si="0"/>
        <v>13</v>
      </c>
      <c r="B17" s="8">
        <v>25094025</v>
      </c>
      <c r="C17" s="8" t="s">
        <v>23</v>
      </c>
      <c r="D17" s="9">
        <v>31</v>
      </c>
      <c r="E17" s="9">
        <v>70</v>
      </c>
      <c r="F17" s="9">
        <v>43</v>
      </c>
      <c r="G17" s="9">
        <v>62</v>
      </c>
      <c r="H17" s="10">
        <v>206</v>
      </c>
    </row>
    <row r="18" spans="1:8" x14ac:dyDescent="0.25">
      <c r="A18" s="7">
        <f t="shared" si="0"/>
        <v>14</v>
      </c>
      <c r="B18" s="8">
        <v>25094022</v>
      </c>
      <c r="C18" s="8" t="s">
        <v>24</v>
      </c>
      <c r="D18" s="9">
        <v>50</v>
      </c>
      <c r="E18" s="9">
        <v>50</v>
      </c>
      <c r="F18" s="9">
        <v>48</v>
      </c>
      <c r="G18" s="9">
        <v>57</v>
      </c>
      <c r="H18" s="10">
        <v>205</v>
      </c>
    </row>
    <row r="19" spans="1:8" x14ac:dyDescent="0.25">
      <c r="A19" s="7">
        <f t="shared" si="0"/>
        <v>15</v>
      </c>
      <c r="B19" s="8">
        <v>25094003</v>
      </c>
      <c r="C19" s="8" t="s">
        <v>25</v>
      </c>
      <c r="D19" s="9">
        <v>19</v>
      </c>
      <c r="E19" s="9">
        <v>80</v>
      </c>
      <c r="F19" s="9">
        <v>32</v>
      </c>
      <c r="G19" s="9">
        <v>72</v>
      </c>
      <c r="H19" s="10">
        <v>203</v>
      </c>
    </row>
    <row r="20" spans="1:8" x14ac:dyDescent="0.25">
      <c r="A20" s="7">
        <f t="shared" si="0"/>
        <v>16</v>
      </c>
      <c r="B20" s="8">
        <v>25094033</v>
      </c>
      <c r="C20" s="8" t="s">
        <v>26</v>
      </c>
      <c r="D20" s="9">
        <v>26</v>
      </c>
      <c r="E20" s="9">
        <v>56</v>
      </c>
      <c r="F20" s="9">
        <v>35</v>
      </c>
      <c r="G20" s="9">
        <v>71</v>
      </c>
      <c r="H20" s="10">
        <v>188</v>
      </c>
    </row>
    <row r="21" spans="1:8" x14ac:dyDescent="0.25">
      <c r="A21" s="7">
        <f t="shared" si="0"/>
        <v>17</v>
      </c>
      <c r="B21" s="8">
        <v>25094032</v>
      </c>
      <c r="C21" s="8" t="s">
        <v>27</v>
      </c>
      <c r="D21" s="9">
        <v>19</v>
      </c>
      <c r="E21" s="9">
        <v>57</v>
      </c>
      <c r="F21" s="9">
        <v>40</v>
      </c>
      <c r="G21" s="9">
        <v>71</v>
      </c>
      <c r="H21" s="10">
        <v>187</v>
      </c>
    </row>
    <row r="22" spans="1:8" x14ac:dyDescent="0.25">
      <c r="A22" s="7">
        <f t="shared" si="0"/>
        <v>18</v>
      </c>
      <c r="B22" s="8">
        <v>25094037</v>
      </c>
      <c r="C22" s="8" t="s">
        <v>28</v>
      </c>
      <c r="D22" s="9">
        <v>22</v>
      </c>
      <c r="E22" s="9">
        <v>67</v>
      </c>
      <c r="F22" s="9">
        <v>29</v>
      </c>
      <c r="G22" s="9">
        <v>66</v>
      </c>
      <c r="H22" s="10">
        <v>184</v>
      </c>
    </row>
    <row r="23" spans="1:8" x14ac:dyDescent="0.25">
      <c r="A23" s="7">
        <f t="shared" si="0"/>
        <v>19</v>
      </c>
      <c r="B23" s="8">
        <v>25094035</v>
      </c>
      <c r="C23" s="8" t="s">
        <v>29</v>
      </c>
      <c r="D23" s="9">
        <v>34</v>
      </c>
      <c r="E23" s="9">
        <v>60</v>
      </c>
      <c r="F23" s="9">
        <v>32</v>
      </c>
      <c r="G23" s="9">
        <v>57</v>
      </c>
      <c r="H23" s="10">
        <v>183</v>
      </c>
    </row>
    <row r="24" spans="1:8" x14ac:dyDescent="0.25">
      <c r="A24" s="7">
        <f t="shared" si="0"/>
        <v>20</v>
      </c>
      <c r="B24" s="8">
        <v>25094014</v>
      </c>
      <c r="C24" s="8" t="s">
        <v>30</v>
      </c>
      <c r="D24" s="9">
        <v>36</v>
      </c>
      <c r="E24" s="9">
        <v>41</v>
      </c>
      <c r="F24" s="9">
        <v>31</v>
      </c>
      <c r="G24" s="9">
        <v>71</v>
      </c>
      <c r="H24" s="10">
        <v>179</v>
      </c>
    </row>
    <row r="25" spans="1:8" x14ac:dyDescent="0.25">
      <c r="A25" s="7">
        <f t="shared" si="0"/>
        <v>21</v>
      </c>
      <c r="B25" s="8">
        <v>25094024</v>
      </c>
      <c r="C25" s="8" t="s">
        <v>31</v>
      </c>
      <c r="D25" s="9">
        <v>31</v>
      </c>
      <c r="E25" s="9">
        <v>58</v>
      </c>
      <c r="F25" s="9">
        <v>24</v>
      </c>
      <c r="G25" s="9">
        <v>66</v>
      </c>
      <c r="H25" s="10">
        <v>179</v>
      </c>
    </row>
    <row r="26" spans="1:8" x14ac:dyDescent="0.25">
      <c r="A26" s="7">
        <f t="shared" si="0"/>
        <v>22</v>
      </c>
      <c r="B26" s="8">
        <v>25094002</v>
      </c>
      <c r="C26" s="8" t="s">
        <v>32</v>
      </c>
      <c r="D26" s="9">
        <v>45</v>
      </c>
      <c r="E26" s="9">
        <v>40</v>
      </c>
      <c r="F26" s="9">
        <v>26</v>
      </c>
      <c r="G26" s="9">
        <v>66</v>
      </c>
      <c r="H26" s="10">
        <v>177</v>
      </c>
    </row>
    <row r="27" spans="1:8" x14ac:dyDescent="0.25">
      <c r="A27" s="7">
        <f t="shared" si="0"/>
        <v>23</v>
      </c>
      <c r="B27" s="8">
        <v>25094007</v>
      </c>
      <c r="C27" s="8" t="s">
        <v>33</v>
      </c>
      <c r="D27" s="9">
        <v>32</v>
      </c>
      <c r="E27" s="9">
        <v>48</v>
      </c>
      <c r="F27" s="9">
        <v>23</v>
      </c>
      <c r="G27" s="9">
        <v>67</v>
      </c>
      <c r="H27" s="10">
        <v>170</v>
      </c>
    </row>
    <row r="28" spans="1:8" x14ac:dyDescent="0.25">
      <c r="A28" s="7">
        <f t="shared" si="0"/>
        <v>24</v>
      </c>
      <c r="B28" s="8">
        <v>25094027</v>
      </c>
      <c r="C28" s="8" t="s">
        <v>34</v>
      </c>
      <c r="D28" s="9">
        <v>43</v>
      </c>
      <c r="E28" s="9">
        <v>46</v>
      </c>
      <c r="F28" s="9">
        <v>34</v>
      </c>
      <c r="G28" s="9">
        <v>47</v>
      </c>
      <c r="H28" s="10">
        <v>170</v>
      </c>
    </row>
    <row r="29" spans="1:8" x14ac:dyDescent="0.25">
      <c r="A29" s="7">
        <f t="shared" si="0"/>
        <v>25</v>
      </c>
      <c r="B29" s="8">
        <v>25094005</v>
      </c>
      <c r="C29" s="8" t="s">
        <v>35</v>
      </c>
      <c r="D29" s="9">
        <v>32</v>
      </c>
      <c r="E29" s="9">
        <v>52</v>
      </c>
      <c r="F29" s="9">
        <v>39</v>
      </c>
      <c r="G29" s="9">
        <v>40</v>
      </c>
      <c r="H29" s="10">
        <v>163</v>
      </c>
    </row>
    <row r="30" spans="1:8" x14ac:dyDescent="0.25">
      <c r="A30" s="7">
        <f t="shared" si="0"/>
        <v>26</v>
      </c>
      <c r="B30" s="8">
        <v>25094016</v>
      </c>
      <c r="C30" s="8" t="s">
        <v>36</v>
      </c>
      <c r="D30" s="9">
        <v>41</v>
      </c>
      <c r="E30" s="9">
        <v>48</v>
      </c>
      <c r="F30" s="9">
        <v>9</v>
      </c>
      <c r="G30" s="9">
        <v>57</v>
      </c>
      <c r="H30" s="10">
        <v>155</v>
      </c>
    </row>
    <row r="31" spans="1:8" x14ac:dyDescent="0.25">
      <c r="A31" s="7">
        <f t="shared" si="0"/>
        <v>27</v>
      </c>
      <c r="B31" s="8">
        <v>25094034</v>
      </c>
      <c r="C31" s="8" t="s">
        <v>37</v>
      </c>
      <c r="D31" s="9">
        <v>30</v>
      </c>
      <c r="E31" s="9">
        <v>48</v>
      </c>
      <c r="F31" s="9">
        <v>21</v>
      </c>
      <c r="G31" s="9">
        <v>56</v>
      </c>
      <c r="H31" s="10">
        <v>155</v>
      </c>
    </row>
    <row r="32" spans="1:8" x14ac:dyDescent="0.25">
      <c r="A32" s="7">
        <f t="shared" si="0"/>
        <v>28</v>
      </c>
      <c r="B32" s="8">
        <v>25094010</v>
      </c>
      <c r="C32" s="8" t="s">
        <v>38</v>
      </c>
      <c r="D32" s="9">
        <v>34</v>
      </c>
      <c r="E32" s="9">
        <v>31</v>
      </c>
      <c r="F32" s="9">
        <v>20</v>
      </c>
      <c r="G32" s="9">
        <v>66</v>
      </c>
      <c r="H32" s="10">
        <v>151</v>
      </c>
    </row>
    <row r="33" spans="1:8" x14ac:dyDescent="0.25">
      <c r="A33" s="7">
        <f t="shared" si="0"/>
        <v>29</v>
      </c>
      <c r="B33" s="8">
        <v>25094018</v>
      </c>
      <c r="C33" s="8" t="s">
        <v>39</v>
      </c>
      <c r="D33" s="9">
        <v>54</v>
      </c>
      <c r="E33" s="9">
        <v>37</v>
      </c>
      <c r="F33" s="9">
        <v>18</v>
      </c>
      <c r="G33" s="9">
        <v>41</v>
      </c>
      <c r="H33" s="10">
        <v>150</v>
      </c>
    </row>
    <row r="34" spans="1:8" x14ac:dyDescent="0.25">
      <c r="A34" s="7">
        <f t="shared" si="0"/>
        <v>30</v>
      </c>
      <c r="B34" s="8">
        <v>25094023</v>
      </c>
      <c r="C34" s="8" t="s">
        <v>40</v>
      </c>
      <c r="D34" s="9">
        <v>23</v>
      </c>
      <c r="E34" s="9">
        <v>32</v>
      </c>
      <c r="F34" s="9">
        <v>25</v>
      </c>
      <c r="G34" s="9">
        <v>61</v>
      </c>
      <c r="H34" s="10">
        <v>141</v>
      </c>
    </row>
    <row r="35" spans="1:8" x14ac:dyDescent="0.25">
      <c r="A35" s="7">
        <f t="shared" si="0"/>
        <v>31</v>
      </c>
      <c r="B35" s="8">
        <v>25094019</v>
      </c>
      <c r="C35" s="8" t="s">
        <v>41</v>
      </c>
      <c r="D35" s="9">
        <v>14</v>
      </c>
      <c r="E35" s="9">
        <v>43</v>
      </c>
      <c r="F35" s="9">
        <v>14</v>
      </c>
      <c r="G35" s="9">
        <v>66</v>
      </c>
      <c r="H35" s="10">
        <v>137</v>
      </c>
    </row>
    <row r="36" spans="1:8" x14ac:dyDescent="0.25">
      <c r="A36" s="7">
        <f t="shared" si="0"/>
        <v>32</v>
      </c>
      <c r="B36" s="8">
        <v>25094030</v>
      </c>
      <c r="C36" s="8" t="s">
        <v>42</v>
      </c>
      <c r="D36" s="9">
        <v>13</v>
      </c>
      <c r="E36" s="9">
        <v>61</v>
      </c>
      <c r="F36" s="9">
        <v>17</v>
      </c>
      <c r="G36" s="9">
        <v>46</v>
      </c>
      <c r="H36" s="10">
        <v>137</v>
      </c>
    </row>
    <row r="37" spans="1:8" x14ac:dyDescent="0.25">
      <c r="A37" s="7">
        <f t="shared" si="0"/>
        <v>33</v>
      </c>
      <c r="B37" s="8">
        <v>25094038</v>
      </c>
      <c r="C37" s="8" t="s">
        <v>43</v>
      </c>
      <c r="D37" s="9">
        <v>17</v>
      </c>
      <c r="E37" s="9">
        <v>29</v>
      </c>
      <c r="F37" s="9">
        <v>19</v>
      </c>
      <c r="G37" s="9">
        <v>51</v>
      </c>
      <c r="H37" s="10">
        <v>116</v>
      </c>
    </row>
    <row r="38" spans="1:8" x14ac:dyDescent="0.25">
      <c r="A38" s="7">
        <f t="shared" si="0"/>
        <v>34</v>
      </c>
      <c r="B38" s="8">
        <v>25094036</v>
      </c>
      <c r="C38" s="8" t="s">
        <v>44</v>
      </c>
      <c r="D38" s="9">
        <v>19</v>
      </c>
      <c r="E38" s="9">
        <v>15</v>
      </c>
      <c r="F38" s="9">
        <v>0</v>
      </c>
      <c r="G38" s="9">
        <v>56</v>
      </c>
      <c r="H38" s="10">
        <v>90</v>
      </c>
    </row>
    <row r="39" spans="1:8" x14ac:dyDescent="0.25">
      <c r="A39" s="7">
        <f t="shared" si="0"/>
        <v>35</v>
      </c>
      <c r="B39" s="8">
        <v>25094029</v>
      </c>
      <c r="C39" s="8" t="s">
        <v>45</v>
      </c>
      <c r="D39" s="9">
        <v>12</v>
      </c>
      <c r="E39" s="9">
        <v>16</v>
      </c>
      <c r="F39" s="9">
        <v>29</v>
      </c>
      <c r="G39" s="9">
        <v>31</v>
      </c>
      <c r="H39" s="10">
        <v>88</v>
      </c>
    </row>
    <row r="40" spans="1:8" x14ac:dyDescent="0.25">
      <c r="A40" s="7">
        <f t="shared" si="0"/>
        <v>36</v>
      </c>
      <c r="B40" s="8">
        <v>25094009</v>
      </c>
      <c r="C40" s="8" t="s">
        <v>46</v>
      </c>
      <c r="D40" s="9" t="s">
        <v>47</v>
      </c>
      <c r="E40" s="9" t="s">
        <v>47</v>
      </c>
      <c r="F40" s="9" t="s">
        <v>47</v>
      </c>
      <c r="G40" s="9" t="s">
        <v>47</v>
      </c>
      <c r="H40" s="9" t="s">
        <v>47</v>
      </c>
    </row>
    <row r="41" spans="1:8" x14ac:dyDescent="0.25">
      <c r="A41" s="7">
        <f t="shared" si="0"/>
        <v>37</v>
      </c>
      <c r="B41" s="8">
        <v>25094011</v>
      </c>
      <c r="C41" s="8" t="s">
        <v>48</v>
      </c>
      <c r="D41" s="9" t="s">
        <v>47</v>
      </c>
      <c r="E41" s="9" t="s">
        <v>47</v>
      </c>
      <c r="F41" s="9" t="s">
        <v>47</v>
      </c>
      <c r="G41" s="9" t="s">
        <v>47</v>
      </c>
      <c r="H41" s="9" t="s">
        <v>47</v>
      </c>
    </row>
    <row r="42" spans="1:8" x14ac:dyDescent="0.25">
      <c r="A42" s="7">
        <f t="shared" si="0"/>
        <v>38</v>
      </c>
      <c r="B42" s="8">
        <v>25094021</v>
      </c>
      <c r="C42" s="8" t="s">
        <v>49</v>
      </c>
      <c r="D42" s="9" t="s">
        <v>47</v>
      </c>
      <c r="E42" s="9" t="s">
        <v>47</v>
      </c>
      <c r="F42" s="9" t="s">
        <v>47</v>
      </c>
      <c r="G42" s="9" t="s">
        <v>47</v>
      </c>
      <c r="H42" s="9" t="s">
        <v>47</v>
      </c>
    </row>
    <row r="43" spans="1:8" x14ac:dyDescent="0.25">
      <c r="A43" s="7">
        <f t="shared" si="0"/>
        <v>39</v>
      </c>
      <c r="B43" s="8">
        <v>25094031</v>
      </c>
      <c r="C43" s="8" t="s">
        <v>50</v>
      </c>
      <c r="D43" s="9" t="s">
        <v>47</v>
      </c>
      <c r="E43" s="9" t="s">
        <v>47</v>
      </c>
      <c r="F43" s="9" t="s">
        <v>47</v>
      </c>
      <c r="G43" s="9" t="s">
        <v>47</v>
      </c>
      <c r="H43" s="9" t="s">
        <v>47</v>
      </c>
    </row>
    <row r="44" spans="1:8" x14ac:dyDescent="0.25">
      <c r="A44" s="7">
        <f t="shared" si="0"/>
        <v>40</v>
      </c>
      <c r="B44" s="8">
        <v>25094039</v>
      </c>
      <c r="C44" s="8" t="s">
        <v>51</v>
      </c>
      <c r="D44" s="9" t="s">
        <v>47</v>
      </c>
      <c r="E44" s="9" t="s">
        <v>47</v>
      </c>
      <c r="F44" s="9" t="s">
        <v>47</v>
      </c>
      <c r="G44" s="9" t="s">
        <v>47</v>
      </c>
      <c r="H44" s="9" t="s">
        <v>47</v>
      </c>
    </row>
    <row r="45" spans="1:8" x14ac:dyDescent="0.25">
      <c r="A45" s="20" t="s">
        <v>52</v>
      </c>
      <c r="B45" s="21"/>
      <c r="C45" s="22"/>
      <c r="D45" s="11">
        <v>100</v>
      </c>
      <c r="E45" s="11">
        <v>100</v>
      </c>
      <c r="F45" s="11">
        <v>100</v>
      </c>
      <c r="G45" s="11">
        <v>100</v>
      </c>
      <c r="H45" s="12">
        <f t="shared" ref="H5:H47" si="1">SUM(D45:G45)</f>
        <v>400</v>
      </c>
    </row>
    <row r="46" spans="1:8" x14ac:dyDescent="0.25">
      <c r="A46" s="20" t="s">
        <v>53</v>
      </c>
      <c r="B46" s="21"/>
      <c r="C46" s="22"/>
      <c r="D46" s="13">
        <f>AVERAGE(D5:D44)</f>
        <v>38.799999999999997</v>
      </c>
      <c r="E46" s="13">
        <f t="shared" ref="E46:G46" si="2">AVERAGE(E5:E44)</f>
        <v>56.8</v>
      </c>
      <c r="F46" s="13">
        <f t="shared" si="2"/>
        <v>35.542857142857144</v>
      </c>
      <c r="G46" s="13">
        <f t="shared" si="2"/>
        <v>60.685714285714283</v>
      </c>
      <c r="H46" s="14">
        <f t="shared" si="1"/>
        <v>191.82857142857142</v>
      </c>
    </row>
    <row r="47" spans="1:8" x14ac:dyDescent="0.25">
      <c r="A47" s="20" t="s">
        <v>54</v>
      </c>
      <c r="B47" s="21"/>
      <c r="C47" s="22"/>
      <c r="D47" s="11">
        <v>50</v>
      </c>
      <c r="E47" s="11">
        <v>50</v>
      </c>
      <c r="F47" s="11">
        <v>50</v>
      </c>
      <c r="G47" s="11">
        <v>50</v>
      </c>
      <c r="H47" s="12">
        <f t="shared" si="1"/>
        <v>200</v>
      </c>
    </row>
    <row r="48" spans="1:8" x14ac:dyDescent="0.25">
      <c r="A48" s="20" t="s">
        <v>55</v>
      </c>
      <c r="B48" s="21"/>
      <c r="C48" s="22"/>
      <c r="D48" s="11"/>
      <c r="E48" s="11"/>
      <c r="F48" s="11"/>
      <c r="G48" s="11"/>
      <c r="H48" s="10"/>
    </row>
    <row r="49" spans="1:8" x14ac:dyDescent="0.25">
      <c r="A49" s="15"/>
      <c r="B49" s="16"/>
      <c r="C49" s="16"/>
      <c r="D49" s="16"/>
      <c r="E49" s="16"/>
      <c r="F49" s="16"/>
      <c r="G49" s="16"/>
      <c r="H49" s="3"/>
    </row>
    <row r="50" spans="1:8" x14ac:dyDescent="0.25">
      <c r="A50" s="15"/>
      <c r="B50" s="16"/>
      <c r="C50" s="16"/>
      <c r="D50" s="16"/>
      <c r="E50" s="16"/>
      <c r="F50" s="16"/>
      <c r="G50" s="16"/>
      <c r="H50" s="3"/>
    </row>
    <row r="51" spans="1:8" x14ac:dyDescent="0.25">
      <c r="A51" s="1" t="s">
        <v>56</v>
      </c>
      <c r="B51" s="2"/>
      <c r="C51" s="2" t="s">
        <v>57</v>
      </c>
      <c r="D51" s="2"/>
      <c r="E51" s="2"/>
      <c r="F51" s="2" t="s">
        <v>58</v>
      </c>
      <c r="G51" s="2"/>
      <c r="H51" s="3"/>
    </row>
    <row r="52" spans="1:8" ht="15.75" thickBot="1" x14ac:dyDescent="0.3">
      <c r="A52" s="17"/>
      <c r="B52" s="18"/>
      <c r="C52" s="18"/>
      <c r="D52" s="18"/>
      <c r="E52" s="18"/>
      <c r="F52" s="18"/>
      <c r="G52" s="18"/>
      <c r="H52" s="19"/>
    </row>
  </sheetData>
  <mergeCells count="7">
    <mergeCell ref="A48:C48"/>
    <mergeCell ref="A1:H1"/>
    <mergeCell ref="A2:H2"/>
    <mergeCell ref="A3:H3"/>
    <mergeCell ref="A45:C45"/>
    <mergeCell ref="A46:C46"/>
    <mergeCell ref="A47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2026-02-09T11:27:44Z</dcterms:created>
  <dcterms:modified xsi:type="dcterms:W3CDTF">2026-02-09T11:34:30Z</dcterms:modified>
</cp:coreProperties>
</file>