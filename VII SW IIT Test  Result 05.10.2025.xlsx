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 foundation 2025-26\5.10.2025\RESULT\VII ALL\"/>
    </mc:Choice>
  </mc:AlternateContent>
  <xr:revisionPtr revIDLastSave="0" documentId="13_ncr:1_{3B2546FE-11E2-426B-B644-A330305D37E6}" xr6:coauthVersionLast="47" xr6:coauthVersionMax="47" xr10:uidLastSave="{00000000-0000-0000-0000-000000000000}"/>
  <bookViews>
    <workbookView xWindow="-120" yWindow="-120" windowWidth="19440" windowHeight="15000" xr2:uid="{BD26FB0F-1D04-4542-BE3C-D95AE3B0430F}"/>
  </bookViews>
  <sheets>
    <sheet name="Sheet2" sheetId="2" r:id="rId1"/>
    <sheet name="Sheet1" sheetId="3" r:id="rId2"/>
  </sheets>
  <definedNames>
    <definedName name="_xlnm._FilterDatabase" localSheetId="0" hidden="1">Sheet2!$I$4:$O$4</definedName>
    <definedName name="_xlnm.Print_Area" localSheetId="0">Sheet2!$A$1:$R$57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2" l="1"/>
  <c r="H5" i="2"/>
  <c r="H8" i="2"/>
  <c r="H17" i="2"/>
  <c r="H9" i="2"/>
  <c r="H11" i="2"/>
  <c r="H14" i="2"/>
  <c r="H7" i="2"/>
  <c r="H16" i="2"/>
  <c r="H21" i="2"/>
  <c r="H22" i="2"/>
  <c r="H25" i="2"/>
  <c r="H18" i="2"/>
  <c r="H24" i="2"/>
  <c r="H6" i="2"/>
  <c r="H20" i="2"/>
  <c r="H27" i="2"/>
  <c r="H10" i="2"/>
  <c r="H13" i="2"/>
  <c r="H34" i="2"/>
  <c r="H30" i="2"/>
  <c r="H31" i="2"/>
  <c r="H29" i="2"/>
  <c r="H26" i="2"/>
  <c r="H28" i="2"/>
  <c r="H15" i="2"/>
  <c r="H19" i="2"/>
  <c r="H23" i="2"/>
  <c r="H32" i="2"/>
  <c r="H35" i="2"/>
  <c r="H37" i="2"/>
  <c r="H36" i="2"/>
  <c r="H33" i="2"/>
  <c r="H12" i="2"/>
  <c r="E41" i="2"/>
  <c r="F41" i="2"/>
  <c r="G41" i="2"/>
  <c r="D41" i="2"/>
  <c r="H41" i="2" s="1"/>
  <c r="H40" i="2" l="1"/>
  <c r="H42" i="2" l="1"/>
</calcChain>
</file>

<file path=xl/sharedStrings.xml><?xml version="1.0" encoding="utf-8"?>
<sst xmlns="http://schemas.openxmlformats.org/spreadsheetml/2006/main" count="58" uniqueCount="54">
  <si>
    <t>Rotary Pratishthan's</t>
  </si>
  <si>
    <t>Rotary English Medium School Khed</t>
  </si>
  <si>
    <t>Sr. No.</t>
  </si>
  <si>
    <t>Candidate ID</t>
  </si>
  <si>
    <t>Name of the Student</t>
  </si>
  <si>
    <t>Phy</t>
  </si>
  <si>
    <t>Chem</t>
  </si>
  <si>
    <t>Maths</t>
  </si>
  <si>
    <t>Bio</t>
  </si>
  <si>
    <t>Total</t>
  </si>
  <si>
    <t>Average Marks</t>
  </si>
  <si>
    <t>Cut - Off</t>
  </si>
  <si>
    <t>Sub. Teacher 's Sign.</t>
  </si>
  <si>
    <t>Class Teacher</t>
  </si>
  <si>
    <t>Exam In-Charge</t>
  </si>
  <si>
    <t>Principal</t>
  </si>
  <si>
    <t>Out Of</t>
  </si>
  <si>
    <t>Pranali Bhausaheb Awati</t>
  </si>
  <si>
    <t xml:space="preserve">Anushka Dhanaji Bhosale  </t>
  </si>
  <si>
    <t xml:space="preserve">Ishada Rakesh Bhosale </t>
  </si>
  <si>
    <t>Trushna Girish Chikhale</t>
  </si>
  <si>
    <t>Aarya Dhananjay Darekar</t>
  </si>
  <si>
    <t>Shravani Sudesh Divekar</t>
  </si>
  <si>
    <t>Sanvi Sandip Hambir</t>
  </si>
  <si>
    <t xml:space="preserve">Shruti Shriram Khedekar </t>
  </si>
  <si>
    <t>Yati Balaram Khedekar</t>
  </si>
  <si>
    <t xml:space="preserve">Ishwari Vijaykumar Mali </t>
  </si>
  <si>
    <t>Shubhra Sudhakar Maske</t>
  </si>
  <si>
    <t>Hemangi Waman Mendhe</t>
  </si>
  <si>
    <t>Zoya Shabir Naguthane</t>
  </si>
  <si>
    <t>Sarah Ajim Parkar</t>
  </si>
  <si>
    <t>Ananya Nagesh Pawar</t>
  </si>
  <si>
    <t>Ruhab Javed Rawal</t>
  </si>
  <si>
    <t xml:space="preserve">Khushi Vasant Rode </t>
  </si>
  <si>
    <t>Sharvari Sunil Sawardekar</t>
  </si>
  <si>
    <t>Varad Anant Bhagane</t>
  </si>
  <si>
    <t>Vedant Prasad Devadiga</t>
  </si>
  <si>
    <t>Swapnishk Aman Goswami</t>
  </si>
  <si>
    <t>Roshan Rakesh Gupta</t>
  </si>
  <si>
    <t>Hardik Kumar</t>
  </si>
  <si>
    <t xml:space="preserve">Veer Rajesh Kalekar </t>
  </si>
  <si>
    <t xml:space="preserve">Mohammed Asad Mehmood Khan </t>
  </si>
  <si>
    <t>Naqeeb NoorMohammad Khot</t>
  </si>
  <si>
    <t xml:space="preserve">Vishwa Vikas Kshirsagar   </t>
  </si>
  <si>
    <t>Sarthak Sanjay More</t>
  </si>
  <si>
    <t>Mehraan Munawar Mullaji</t>
  </si>
  <si>
    <t>Atharv Umesh Nakshe</t>
  </si>
  <si>
    <t xml:space="preserve">Chaitanya Vishvajit Nalawade </t>
  </si>
  <si>
    <t>Zainuddin Naushad Parkar</t>
  </si>
  <si>
    <t xml:space="preserve">Adwait Sachin Patil  </t>
  </si>
  <si>
    <t>Rudra Kedar Raul</t>
  </si>
  <si>
    <t xml:space="preserve">Yadnya Kulbhushan Shinde </t>
  </si>
  <si>
    <t>AB</t>
  </si>
  <si>
    <t>VII SW IIT Test  Result 05.10.2025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</si>
</sst>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4"/>
      <name val="Calibri Light"/>
      <family val="1"/>
      <scheme val="major"/>
    </font>
    <font>
      <sz val="14"/>
      <name val="Calibri Light"/>
      <family val="2"/>
      <scheme val="maj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" fontId="3" fillId="2" borderId="1" xfId="1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2B97B9E-3267-44B4-9736-44CD9FE4C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4E1D-093B-49DA-9E13-090228994BFE}">
  <dimension ref="A1:H45"/>
  <sheetViews>
    <sheetView tabSelected="1" view="pageBreakPreview" zoomScaleNormal="70" zoomScaleSheetLayoutView="100" workbookViewId="0">
      <selection sqref="A1:H46"/>
    </sheetView>
  </sheetViews>
  <sheetFormatPr defaultRowHeight="15" x14ac:dyDescent="0.25"/>
  <cols>
    <col min="1" max="1" width="4.140625" style="3" bestFit="1" customWidth="1"/>
    <col min="2" max="2" width="10" style="3" bestFit="1" customWidth="1"/>
    <col min="3" max="3" width="30.140625" style="3" customWidth="1"/>
    <col min="4" max="4" width="11.28515625" style="3" customWidth="1"/>
    <col min="5" max="5" width="10.85546875" style="3" customWidth="1"/>
    <col min="6" max="6" width="11.140625" style="3" customWidth="1"/>
    <col min="7" max="7" width="11" style="3" customWidth="1"/>
    <col min="8" max="8" width="8.85546875" style="3" customWidth="1"/>
    <col min="9" max="9" width="9.140625" style="3"/>
    <col min="10" max="10" width="34.28515625" style="3" bestFit="1" customWidth="1"/>
    <col min="11" max="16384" width="9.140625" style="3"/>
  </cols>
  <sheetData>
    <row r="1" spans="1:8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x14ac:dyDescent="0.25">
      <c r="A2" s="14" t="s">
        <v>1</v>
      </c>
      <c r="B2" s="14"/>
      <c r="C2" s="14"/>
      <c r="D2" s="14"/>
      <c r="E2" s="14"/>
      <c r="F2" s="14"/>
      <c r="G2" s="14"/>
      <c r="H2" s="14"/>
    </row>
    <row r="3" spans="1:8" x14ac:dyDescent="0.25">
      <c r="A3" s="15" t="s">
        <v>53</v>
      </c>
      <c r="B3" s="15"/>
      <c r="C3" s="15"/>
      <c r="D3" s="15"/>
      <c r="E3" s="15"/>
      <c r="F3" s="15"/>
      <c r="G3" s="15"/>
      <c r="H3" s="15"/>
    </row>
    <row r="4" spans="1:8" s="5" customFormat="1" ht="27.75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ht="14.25" customHeight="1" x14ac:dyDescent="0.25">
      <c r="A5" s="1">
        <v>1</v>
      </c>
      <c r="B5" s="12">
        <v>25074024</v>
      </c>
      <c r="C5" s="8" t="s">
        <v>40</v>
      </c>
      <c r="D5" s="1">
        <v>80</v>
      </c>
      <c r="E5" s="1">
        <v>90</v>
      </c>
      <c r="F5" s="1">
        <v>90</v>
      </c>
      <c r="G5" s="1">
        <v>80</v>
      </c>
      <c r="H5" s="1">
        <f>SUM(D5:G5)</f>
        <v>340</v>
      </c>
    </row>
    <row r="6" spans="1:8" ht="14.25" customHeight="1" x14ac:dyDescent="0.25">
      <c r="A6" s="1">
        <v>2</v>
      </c>
      <c r="B6" s="12">
        <v>25074035</v>
      </c>
      <c r="C6" s="11" t="s">
        <v>51</v>
      </c>
      <c r="D6" s="1">
        <v>65</v>
      </c>
      <c r="E6" s="1">
        <v>80</v>
      </c>
      <c r="F6" s="1">
        <v>85</v>
      </c>
      <c r="G6" s="1">
        <v>90</v>
      </c>
      <c r="H6" s="1">
        <f>SUM(D6:G6)</f>
        <v>320</v>
      </c>
    </row>
    <row r="7" spans="1:8" ht="14.25" customHeight="1" x14ac:dyDescent="0.25">
      <c r="A7" s="1">
        <v>3</v>
      </c>
      <c r="B7" s="12">
        <v>25074016</v>
      </c>
      <c r="C7" s="8" t="s">
        <v>32</v>
      </c>
      <c r="D7" s="1">
        <v>61</v>
      </c>
      <c r="E7" s="1">
        <v>85</v>
      </c>
      <c r="F7" s="1">
        <v>67</v>
      </c>
      <c r="G7" s="1">
        <v>95</v>
      </c>
      <c r="H7" s="1">
        <f>SUM(D7:G7)</f>
        <v>308</v>
      </c>
    </row>
    <row r="8" spans="1:8" ht="14.25" customHeight="1" x14ac:dyDescent="0.25">
      <c r="A8" s="1">
        <v>4</v>
      </c>
      <c r="B8" s="12">
        <v>25074022</v>
      </c>
      <c r="C8" s="8" t="s">
        <v>38</v>
      </c>
      <c r="D8" s="1">
        <v>80</v>
      </c>
      <c r="E8" s="1">
        <v>87</v>
      </c>
      <c r="F8" s="1">
        <v>64</v>
      </c>
      <c r="G8" s="1">
        <v>75</v>
      </c>
      <c r="H8" s="1">
        <f>SUM(D8:G8)</f>
        <v>306</v>
      </c>
    </row>
    <row r="9" spans="1:8" ht="14.25" customHeight="1" x14ac:dyDescent="0.25">
      <c r="A9" s="1">
        <v>5</v>
      </c>
      <c r="B9" s="12">
        <v>25074028</v>
      </c>
      <c r="C9" s="8" t="s">
        <v>44</v>
      </c>
      <c r="D9" s="1">
        <v>66</v>
      </c>
      <c r="E9" s="1">
        <v>75</v>
      </c>
      <c r="F9" s="1">
        <v>76</v>
      </c>
      <c r="G9" s="1">
        <v>85</v>
      </c>
      <c r="H9" s="1">
        <f>SUM(D9:G9)</f>
        <v>302</v>
      </c>
    </row>
    <row r="10" spans="1:8" ht="14.25" customHeight="1" x14ac:dyDescent="0.25">
      <c r="A10" s="1">
        <v>6</v>
      </c>
      <c r="B10" s="12">
        <v>25074007</v>
      </c>
      <c r="C10" s="8" t="s">
        <v>23</v>
      </c>
      <c r="D10" s="1">
        <v>60</v>
      </c>
      <c r="E10" s="1">
        <v>75</v>
      </c>
      <c r="F10" s="1">
        <v>72</v>
      </c>
      <c r="G10" s="1">
        <v>95</v>
      </c>
      <c r="H10" s="1">
        <f>SUM(D10:G10)</f>
        <v>302</v>
      </c>
    </row>
    <row r="11" spans="1:8" ht="14.25" customHeight="1" x14ac:dyDescent="0.25">
      <c r="A11" s="1">
        <v>7</v>
      </c>
      <c r="B11" s="12">
        <v>25074010</v>
      </c>
      <c r="C11" s="8" t="s">
        <v>26</v>
      </c>
      <c r="D11" s="1">
        <v>60</v>
      </c>
      <c r="E11" s="1">
        <v>85</v>
      </c>
      <c r="F11" s="1">
        <v>61</v>
      </c>
      <c r="G11" s="1">
        <v>95</v>
      </c>
      <c r="H11" s="1">
        <f>SUM(D11:G11)</f>
        <v>301</v>
      </c>
    </row>
    <row r="12" spans="1:8" ht="14.25" customHeight="1" x14ac:dyDescent="0.25">
      <c r="A12" s="1">
        <v>8</v>
      </c>
      <c r="B12" s="12">
        <v>25074021</v>
      </c>
      <c r="C12" s="8" t="s">
        <v>37</v>
      </c>
      <c r="D12" s="1">
        <v>65</v>
      </c>
      <c r="E12" s="1">
        <v>65</v>
      </c>
      <c r="F12" s="1">
        <v>75</v>
      </c>
      <c r="G12" s="1">
        <v>86</v>
      </c>
      <c r="H12" s="1">
        <f>SUM(D12:G12)</f>
        <v>291</v>
      </c>
    </row>
    <row r="13" spans="1:8" ht="14.25" customHeight="1" x14ac:dyDescent="0.25">
      <c r="A13" s="1">
        <v>9</v>
      </c>
      <c r="B13" s="12">
        <v>25074013</v>
      </c>
      <c r="C13" s="8" t="s">
        <v>29</v>
      </c>
      <c r="D13" s="1">
        <v>61</v>
      </c>
      <c r="E13" s="1">
        <v>73</v>
      </c>
      <c r="F13" s="1">
        <v>59</v>
      </c>
      <c r="G13" s="1">
        <v>95</v>
      </c>
      <c r="H13" s="1">
        <f>SUM(D13:G13)</f>
        <v>288</v>
      </c>
    </row>
    <row r="14" spans="1:8" ht="14.25" customHeight="1" x14ac:dyDescent="0.25">
      <c r="A14" s="1">
        <v>10</v>
      </c>
      <c r="B14" s="12">
        <v>25074008</v>
      </c>
      <c r="C14" s="8" t="s">
        <v>24</v>
      </c>
      <c r="D14" s="1">
        <v>66</v>
      </c>
      <c r="E14" s="1">
        <v>55</v>
      </c>
      <c r="F14" s="1">
        <v>67</v>
      </c>
      <c r="G14" s="1">
        <v>95</v>
      </c>
      <c r="H14" s="1">
        <f>SUM(D14:G14)</f>
        <v>283</v>
      </c>
    </row>
    <row r="15" spans="1:8" ht="14.25" customHeight="1" x14ac:dyDescent="0.25">
      <c r="A15" s="1">
        <v>11</v>
      </c>
      <c r="B15" s="12">
        <v>25074011</v>
      </c>
      <c r="C15" s="8" t="s">
        <v>27</v>
      </c>
      <c r="D15" s="1">
        <v>65</v>
      </c>
      <c r="E15" s="1">
        <v>70</v>
      </c>
      <c r="F15" s="1">
        <v>66</v>
      </c>
      <c r="G15" s="1">
        <v>80</v>
      </c>
      <c r="H15" s="1">
        <f>SUM(D15:G15)</f>
        <v>281</v>
      </c>
    </row>
    <row r="16" spans="1:8" ht="14.25" customHeight="1" x14ac:dyDescent="0.25">
      <c r="A16" s="1">
        <v>12</v>
      </c>
      <c r="B16" s="12">
        <v>25074017</v>
      </c>
      <c r="C16" s="8" t="s">
        <v>33</v>
      </c>
      <c r="D16" s="1">
        <v>61</v>
      </c>
      <c r="E16" s="1">
        <v>80</v>
      </c>
      <c r="F16" s="1">
        <v>47</v>
      </c>
      <c r="G16" s="1">
        <v>90</v>
      </c>
      <c r="H16" s="1">
        <f>SUM(D16:G16)</f>
        <v>278</v>
      </c>
    </row>
    <row r="17" spans="1:8" ht="14.25" customHeight="1" x14ac:dyDescent="0.25">
      <c r="A17" s="1">
        <v>13</v>
      </c>
      <c r="B17" s="12">
        <v>25074019</v>
      </c>
      <c r="C17" s="8" t="s">
        <v>35</v>
      </c>
      <c r="D17" s="1">
        <v>85</v>
      </c>
      <c r="E17" s="1">
        <v>50</v>
      </c>
      <c r="F17" s="1">
        <v>50</v>
      </c>
      <c r="G17" s="1">
        <v>90</v>
      </c>
      <c r="H17" s="1">
        <f>SUM(D17:G17)</f>
        <v>275</v>
      </c>
    </row>
    <row r="18" spans="1:8" ht="14.25" customHeight="1" x14ac:dyDescent="0.25">
      <c r="A18" s="1">
        <v>14</v>
      </c>
      <c r="B18" s="12">
        <v>25074033</v>
      </c>
      <c r="C18" s="8" t="s">
        <v>49</v>
      </c>
      <c r="D18" s="1">
        <v>56</v>
      </c>
      <c r="E18" s="1">
        <v>70</v>
      </c>
      <c r="F18" s="1">
        <v>64</v>
      </c>
      <c r="G18" s="1">
        <v>85</v>
      </c>
      <c r="H18" s="1">
        <f>SUM(D18:G18)</f>
        <v>275</v>
      </c>
    </row>
    <row r="19" spans="1:8" ht="14.25" customHeight="1" x14ac:dyDescent="0.25">
      <c r="A19" s="1">
        <v>15</v>
      </c>
      <c r="B19" s="12">
        <v>25074030</v>
      </c>
      <c r="C19" s="8" t="s">
        <v>46</v>
      </c>
      <c r="D19" s="1">
        <v>71</v>
      </c>
      <c r="E19" s="1">
        <v>49</v>
      </c>
      <c r="F19" s="1">
        <v>67</v>
      </c>
      <c r="G19" s="1">
        <v>86</v>
      </c>
      <c r="H19" s="1">
        <f>SUM(D19:G19)</f>
        <v>273</v>
      </c>
    </row>
    <row r="20" spans="1:8" ht="14.25" customHeight="1" x14ac:dyDescent="0.25">
      <c r="A20" s="1">
        <v>17</v>
      </c>
      <c r="B20" s="12">
        <v>25074023</v>
      </c>
      <c r="C20" s="8" t="s">
        <v>39</v>
      </c>
      <c r="D20" s="1">
        <v>57</v>
      </c>
      <c r="E20" s="1">
        <v>71</v>
      </c>
      <c r="F20" s="1">
        <v>63</v>
      </c>
      <c r="G20" s="1">
        <v>80</v>
      </c>
      <c r="H20" s="1">
        <f>SUM(D20:G20)</f>
        <v>271</v>
      </c>
    </row>
    <row r="21" spans="1:8" ht="14.25" customHeight="1" x14ac:dyDescent="0.25">
      <c r="A21" s="1">
        <v>18</v>
      </c>
      <c r="B21" s="12">
        <v>25074014</v>
      </c>
      <c r="C21" s="8" t="s">
        <v>30</v>
      </c>
      <c r="D21" s="1">
        <v>66</v>
      </c>
      <c r="E21" s="1">
        <v>68</v>
      </c>
      <c r="F21" s="1">
        <v>45</v>
      </c>
      <c r="G21" s="1">
        <v>87</v>
      </c>
      <c r="H21" s="1">
        <f>SUM(D21:G21)</f>
        <v>266</v>
      </c>
    </row>
    <row r="22" spans="1:8" ht="14.25" customHeight="1" x14ac:dyDescent="0.25">
      <c r="A22" s="1">
        <v>19</v>
      </c>
      <c r="B22" s="12">
        <v>25074031</v>
      </c>
      <c r="C22" s="8" t="s">
        <v>47</v>
      </c>
      <c r="D22" s="1">
        <v>70</v>
      </c>
      <c r="E22" s="1">
        <v>75</v>
      </c>
      <c r="F22" s="1">
        <v>58</v>
      </c>
      <c r="G22" s="1">
        <v>61</v>
      </c>
      <c r="H22" s="1">
        <f>SUM(D22:G22)</f>
        <v>264</v>
      </c>
    </row>
    <row r="23" spans="1:8" ht="14.25" customHeight="1" x14ac:dyDescent="0.25">
      <c r="A23" s="1">
        <v>20</v>
      </c>
      <c r="B23" s="12">
        <v>25074032</v>
      </c>
      <c r="C23" s="8" t="s">
        <v>48</v>
      </c>
      <c r="D23" s="1">
        <v>40</v>
      </c>
      <c r="E23" s="1">
        <v>61</v>
      </c>
      <c r="F23" s="1">
        <v>66</v>
      </c>
      <c r="G23" s="1">
        <v>95</v>
      </c>
      <c r="H23" s="1">
        <f>SUM(D23:G23)</f>
        <v>262</v>
      </c>
    </row>
    <row r="24" spans="1:8" ht="14.25" customHeight="1" x14ac:dyDescent="0.25">
      <c r="A24" s="1">
        <v>21</v>
      </c>
      <c r="B24" s="12">
        <v>25074003</v>
      </c>
      <c r="C24" s="8" t="s">
        <v>19</v>
      </c>
      <c r="D24" s="1">
        <v>61</v>
      </c>
      <c r="E24" s="1">
        <v>65</v>
      </c>
      <c r="F24" s="1">
        <v>71</v>
      </c>
      <c r="G24" s="1">
        <v>55</v>
      </c>
      <c r="H24" s="1">
        <f>SUM(D24:G24)</f>
        <v>252</v>
      </c>
    </row>
    <row r="25" spans="1:8" ht="14.25" customHeight="1" x14ac:dyDescent="0.25">
      <c r="A25" s="1">
        <v>22</v>
      </c>
      <c r="B25" s="12">
        <v>25074018</v>
      </c>
      <c r="C25" s="8" t="s">
        <v>34</v>
      </c>
      <c r="D25" s="1">
        <v>56</v>
      </c>
      <c r="E25" s="1">
        <v>56</v>
      </c>
      <c r="F25" s="1">
        <v>44</v>
      </c>
      <c r="G25" s="1">
        <v>85</v>
      </c>
      <c r="H25" s="1">
        <f>SUM(D25:G25)</f>
        <v>241</v>
      </c>
    </row>
    <row r="26" spans="1:8" ht="14.25" customHeight="1" x14ac:dyDescent="0.25">
      <c r="A26" s="1">
        <v>23</v>
      </c>
      <c r="B26" s="12">
        <v>25074027</v>
      </c>
      <c r="C26" s="8" t="s">
        <v>43</v>
      </c>
      <c r="D26" s="1">
        <v>55</v>
      </c>
      <c r="E26" s="1">
        <v>50</v>
      </c>
      <c r="F26" s="1">
        <v>66</v>
      </c>
      <c r="G26" s="1">
        <v>70</v>
      </c>
      <c r="H26" s="1">
        <f>SUM(D26:G26)</f>
        <v>241</v>
      </c>
    </row>
    <row r="27" spans="1:8" ht="14.25" customHeight="1" x14ac:dyDescent="0.25">
      <c r="A27" s="1">
        <v>24</v>
      </c>
      <c r="B27" s="12">
        <v>25074009</v>
      </c>
      <c r="C27" s="8" t="s">
        <v>25</v>
      </c>
      <c r="D27" s="1">
        <v>41</v>
      </c>
      <c r="E27" s="1">
        <v>60</v>
      </c>
      <c r="F27" s="1">
        <v>53</v>
      </c>
      <c r="G27" s="1">
        <v>80</v>
      </c>
      <c r="H27" s="1">
        <f>SUM(D27:G27)</f>
        <v>234</v>
      </c>
    </row>
    <row r="28" spans="1:8" ht="14.25" customHeight="1" x14ac:dyDescent="0.25">
      <c r="A28" s="1">
        <v>25</v>
      </c>
      <c r="B28" s="12">
        <v>25074006</v>
      </c>
      <c r="C28" s="8" t="s">
        <v>22</v>
      </c>
      <c r="D28" s="1">
        <v>47</v>
      </c>
      <c r="E28" s="1">
        <v>34</v>
      </c>
      <c r="F28" s="1">
        <v>46</v>
      </c>
      <c r="G28" s="1">
        <v>91</v>
      </c>
      <c r="H28" s="1">
        <f>SUM(D28:G28)</f>
        <v>218</v>
      </c>
    </row>
    <row r="29" spans="1:8" ht="14.25" customHeight="1" x14ac:dyDescent="0.25">
      <c r="A29" s="1">
        <v>26</v>
      </c>
      <c r="B29" s="12">
        <v>25074005</v>
      </c>
      <c r="C29" s="8" t="s">
        <v>21</v>
      </c>
      <c r="D29" s="1">
        <v>44</v>
      </c>
      <c r="E29" s="1">
        <v>51</v>
      </c>
      <c r="F29" s="1">
        <v>43</v>
      </c>
      <c r="G29" s="1">
        <v>79</v>
      </c>
      <c r="H29" s="1">
        <f>SUM(D29:G29)</f>
        <v>217</v>
      </c>
    </row>
    <row r="30" spans="1:8" ht="14.25" customHeight="1" x14ac:dyDescent="0.25">
      <c r="A30" s="1">
        <v>27</v>
      </c>
      <c r="B30" s="12">
        <v>25074020</v>
      </c>
      <c r="C30" s="8" t="s">
        <v>36</v>
      </c>
      <c r="D30" s="1">
        <v>50</v>
      </c>
      <c r="E30" s="1">
        <v>65</v>
      </c>
      <c r="F30" s="1">
        <v>25</v>
      </c>
      <c r="G30" s="1">
        <v>65</v>
      </c>
      <c r="H30" s="1">
        <f>SUM(D30:G30)</f>
        <v>205</v>
      </c>
    </row>
    <row r="31" spans="1:8" ht="14.25" customHeight="1" x14ac:dyDescent="0.25">
      <c r="A31" s="1">
        <v>28</v>
      </c>
      <c r="B31" s="12">
        <v>25074012</v>
      </c>
      <c r="C31" s="8" t="s">
        <v>28</v>
      </c>
      <c r="D31" s="1">
        <v>52</v>
      </c>
      <c r="E31" s="1">
        <v>52</v>
      </c>
      <c r="F31" s="1">
        <v>45</v>
      </c>
      <c r="G31" s="1">
        <v>55</v>
      </c>
      <c r="H31" s="1">
        <f>SUM(D31:G31)</f>
        <v>204</v>
      </c>
    </row>
    <row r="32" spans="1:8" ht="14.25" customHeight="1" x14ac:dyDescent="0.25">
      <c r="A32" s="1">
        <v>29</v>
      </c>
      <c r="B32" s="12">
        <v>25074034</v>
      </c>
      <c r="C32" s="8" t="s">
        <v>50</v>
      </c>
      <c r="D32" s="1">
        <v>45</v>
      </c>
      <c r="E32" s="1">
        <v>50</v>
      </c>
      <c r="F32" s="1">
        <v>41</v>
      </c>
      <c r="G32" s="1">
        <v>65</v>
      </c>
      <c r="H32" s="1">
        <f>SUM(D32:G32)</f>
        <v>201</v>
      </c>
    </row>
    <row r="33" spans="1:8" ht="14.25" customHeight="1" x14ac:dyDescent="0.25">
      <c r="A33" s="1">
        <v>30</v>
      </c>
      <c r="B33" s="12">
        <v>25074029</v>
      </c>
      <c r="C33" s="8" t="s">
        <v>45</v>
      </c>
      <c r="D33" s="1">
        <v>45</v>
      </c>
      <c r="E33" s="1">
        <v>35</v>
      </c>
      <c r="F33" s="1">
        <v>31</v>
      </c>
      <c r="G33" s="1">
        <v>85</v>
      </c>
      <c r="H33" s="1">
        <f>SUM(D33:G33)</f>
        <v>196</v>
      </c>
    </row>
    <row r="34" spans="1:8" ht="14.25" customHeight="1" x14ac:dyDescent="0.25">
      <c r="A34" s="1">
        <v>31</v>
      </c>
      <c r="B34" s="12">
        <v>25074025</v>
      </c>
      <c r="C34" s="10" t="s">
        <v>41</v>
      </c>
      <c r="D34" s="1">
        <v>35</v>
      </c>
      <c r="E34" s="1">
        <v>40</v>
      </c>
      <c r="F34" s="1">
        <v>40</v>
      </c>
      <c r="G34" s="1">
        <v>70</v>
      </c>
      <c r="H34" s="1">
        <f>SUM(D34:G34)</f>
        <v>185</v>
      </c>
    </row>
    <row r="35" spans="1:8" ht="14.25" customHeight="1" x14ac:dyDescent="0.25">
      <c r="A35" s="1">
        <v>32</v>
      </c>
      <c r="B35" s="12">
        <v>25074002</v>
      </c>
      <c r="C35" s="8" t="s">
        <v>18</v>
      </c>
      <c r="D35" s="1">
        <v>27</v>
      </c>
      <c r="E35" s="1">
        <v>42</v>
      </c>
      <c r="F35" s="1">
        <v>41</v>
      </c>
      <c r="G35" s="1">
        <v>72</v>
      </c>
      <c r="H35" s="1">
        <f>SUM(D35:G35)</f>
        <v>182</v>
      </c>
    </row>
    <row r="36" spans="1:8" ht="14.25" customHeight="1" x14ac:dyDescent="0.25">
      <c r="A36" s="1">
        <v>33</v>
      </c>
      <c r="B36" s="12">
        <v>25074015</v>
      </c>
      <c r="C36" s="8" t="s">
        <v>31</v>
      </c>
      <c r="D36" s="1">
        <v>35</v>
      </c>
      <c r="E36" s="1">
        <v>44</v>
      </c>
      <c r="F36" s="1">
        <v>31</v>
      </c>
      <c r="G36" s="1">
        <v>71</v>
      </c>
      <c r="H36" s="1">
        <f>SUM(D36:G36)</f>
        <v>181</v>
      </c>
    </row>
    <row r="37" spans="1:8" ht="14.25" customHeight="1" x14ac:dyDescent="0.25">
      <c r="A37" s="1">
        <v>34</v>
      </c>
      <c r="B37" s="12">
        <v>25074001</v>
      </c>
      <c r="C37" s="9" t="s">
        <v>17</v>
      </c>
      <c r="D37" s="1">
        <v>47</v>
      </c>
      <c r="E37" s="1">
        <v>42</v>
      </c>
      <c r="F37" s="1">
        <v>39</v>
      </c>
      <c r="G37" s="1">
        <v>50</v>
      </c>
      <c r="H37" s="1">
        <f>SUM(D37:G37)</f>
        <v>178</v>
      </c>
    </row>
    <row r="38" spans="1:8" ht="14.25" customHeight="1" x14ac:dyDescent="0.25">
      <c r="A38" s="1">
        <v>35</v>
      </c>
      <c r="B38" s="12">
        <v>25074004</v>
      </c>
      <c r="C38" s="8" t="s">
        <v>20</v>
      </c>
      <c r="D38" s="1">
        <v>29</v>
      </c>
      <c r="E38" s="1">
        <v>35</v>
      </c>
      <c r="F38" s="1">
        <v>25</v>
      </c>
      <c r="G38" s="1">
        <v>27</v>
      </c>
      <c r="H38" s="1">
        <f>SUM(D38:G38)</f>
        <v>116</v>
      </c>
    </row>
    <row r="39" spans="1:8" ht="14.25" customHeight="1" x14ac:dyDescent="0.25">
      <c r="A39" s="1">
        <v>36</v>
      </c>
      <c r="B39" s="12">
        <v>25074026</v>
      </c>
      <c r="C39" s="10" t="s">
        <v>42</v>
      </c>
      <c r="D39" s="1" t="s">
        <v>52</v>
      </c>
      <c r="E39" s="1" t="s">
        <v>52</v>
      </c>
      <c r="F39" s="1" t="s">
        <v>52</v>
      </c>
      <c r="G39" s="1" t="s">
        <v>52</v>
      </c>
      <c r="H39" s="1" t="s">
        <v>52</v>
      </c>
    </row>
    <row r="40" spans="1:8" ht="14.25" customHeight="1" x14ac:dyDescent="0.25">
      <c r="A40" s="13" t="s">
        <v>16</v>
      </c>
      <c r="B40" s="13"/>
      <c r="C40" s="13"/>
      <c r="D40" s="6">
        <v>100</v>
      </c>
      <c r="E40" s="6">
        <v>100</v>
      </c>
      <c r="F40" s="6">
        <v>100</v>
      </c>
      <c r="G40" s="6">
        <v>100</v>
      </c>
      <c r="H40" s="6">
        <f t="shared" ref="H40" si="0">SUM(D40:G40)</f>
        <v>400</v>
      </c>
    </row>
    <row r="41" spans="1:8" x14ac:dyDescent="0.25">
      <c r="A41" s="13" t="s">
        <v>10</v>
      </c>
      <c r="B41" s="13"/>
      <c r="C41" s="13"/>
      <c r="D41" s="7">
        <f>AVERAGE(D5:D39)</f>
        <v>56</v>
      </c>
      <c r="E41" s="7">
        <f>AVERAGE(E5:E39)</f>
        <v>61.323529411764703</v>
      </c>
      <c r="F41" s="7">
        <f>AVERAGE(F5:F39)</f>
        <v>55.382352941176471</v>
      </c>
      <c r="G41" s="7">
        <f>AVERAGE(G5:G39)</f>
        <v>78.382352941176464</v>
      </c>
      <c r="H41" s="7">
        <f>SUM(D41:G41)</f>
        <v>251.08823529411762</v>
      </c>
    </row>
    <row r="42" spans="1:8" x14ac:dyDescent="0.25">
      <c r="A42" s="13" t="s">
        <v>11</v>
      </c>
      <c r="B42" s="13"/>
      <c r="C42" s="13"/>
      <c r="D42" s="6">
        <v>50</v>
      </c>
      <c r="E42" s="6">
        <v>50</v>
      </c>
      <c r="F42" s="6">
        <v>50</v>
      </c>
      <c r="G42" s="6">
        <v>50</v>
      </c>
      <c r="H42" s="6">
        <f t="shared" ref="H42" si="1">SUM(D42:G42)</f>
        <v>200</v>
      </c>
    </row>
    <row r="43" spans="1:8" x14ac:dyDescent="0.25">
      <c r="A43" s="13" t="s">
        <v>12</v>
      </c>
      <c r="B43" s="13"/>
      <c r="C43" s="13"/>
      <c r="D43" s="6"/>
      <c r="E43" s="6"/>
      <c r="F43" s="6"/>
      <c r="G43" s="6"/>
      <c r="H43" s="6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 t="s">
        <v>13</v>
      </c>
      <c r="B45" s="2"/>
      <c r="C45" s="2" t="s">
        <v>14</v>
      </c>
      <c r="D45" s="2"/>
      <c r="E45" s="2"/>
      <c r="F45" s="2" t="s">
        <v>15</v>
      </c>
      <c r="G45" s="2"/>
      <c r="H45" s="2"/>
    </row>
  </sheetData>
  <sortState xmlns:xlrd2="http://schemas.microsoft.com/office/spreadsheetml/2017/richdata2" ref="A5:H39">
    <sortCondition descending="1" ref="H5:H39"/>
  </sortState>
  <mergeCells count="7">
    <mergeCell ref="A43:C43"/>
    <mergeCell ref="A1:H1"/>
    <mergeCell ref="A2:H2"/>
    <mergeCell ref="A3:H3"/>
    <mergeCell ref="A40:C40"/>
    <mergeCell ref="A41:C41"/>
    <mergeCell ref="A42:C42"/>
  </mergeCells>
  <pageMargins left="0.19685039370078741" right="0.19685039370078741" top="0.19685039370078741" bottom="0.1968503937007874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BCB2-413E-45BB-AEB7-1C109B03AC5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Sir</dc:creator>
  <cp:lastModifiedBy>Omkar Kashte</cp:lastModifiedBy>
  <cp:lastPrinted>2025-10-14T11:22:52Z</cp:lastPrinted>
  <dcterms:created xsi:type="dcterms:W3CDTF">2025-04-11T10:43:12Z</dcterms:created>
  <dcterms:modified xsi:type="dcterms:W3CDTF">2025-10-14T11:22:57Z</dcterms:modified>
</cp:coreProperties>
</file>