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- A IIT Foundation 2024\0 IIT Consolidated\IIT &amp; NDA 2024-25\"/>
    </mc:Choice>
  </mc:AlternateContent>
  <xr:revisionPtr revIDLastSave="0" documentId="13_ncr:1_{5C7E830D-DC71-46A4-AF82-B636E138878E}" xr6:coauthVersionLast="36" xr6:coauthVersionMax="36" xr10:uidLastSave="{00000000-0000-0000-0000-000000000000}"/>
  <bookViews>
    <workbookView xWindow="0" yWindow="0" windowWidth="20490" windowHeight="7560" xr2:uid="{96DA6436-5A99-49E3-BF2E-77E53A7E93DB}"/>
  </bookViews>
  <sheets>
    <sheet name="VII SW" sheetId="1" r:id="rId1"/>
  </sheets>
  <definedNames>
    <definedName name="_xlnm._FilterDatabase" localSheetId="0" hidden="1">'VII SW'!$A$5:$BA$5</definedName>
    <definedName name="_xlnm.Print_Area" localSheetId="0">'VII SW'!$A$1:$AL$40</definedName>
    <definedName name="_xlnm.Print_Titles" localSheetId="0">'VII SW'!$1:$5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0" i="1" l="1"/>
  <c r="AO40" i="1"/>
  <c r="AN40" i="1"/>
  <c r="AM40" i="1"/>
  <c r="AL40" i="1"/>
  <c r="AG40" i="1"/>
  <c r="AB40" i="1"/>
  <c r="W40" i="1"/>
  <c r="R40" i="1"/>
  <c r="M40" i="1"/>
  <c r="H40" i="1"/>
  <c r="AP39" i="1"/>
  <c r="AO39" i="1"/>
  <c r="AN39" i="1"/>
  <c r="AM39" i="1"/>
  <c r="AL39" i="1"/>
  <c r="AG39" i="1"/>
  <c r="AB39" i="1"/>
  <c r="W39" i="1"/>
  <c r="R39" i="1"/>
  <c r="M39" i="1"/>
  <c r="H39" i="1"/>
  <c r="AP38" i="1"/>
  <c r="AO38" i="1"/>
  <c r="AN38" i="1"/>
  <c r="AM38" i="1"/>
  <c r="AL38" i="1"/>
  <c r="AG38" i="1"/>
  <c r="AB38" i="1"/>
  <c r="W38" i="1"/>
  <c r="R38" i="1"/>
  <c r="M38" i="1"/>
  <c r="H38" i="1"/>
  <c r="AY37" i="1"/>
  <c r="AZ37" i="1" s="1"/>
  <c r="BA37" i="1" s="1"/>
  <c r="AX37" i="1" s="1"/>
  <c r="AP37" i="1"/>
  <c r="AO37" i="1"/>
  <c r="AN37" i="1"/>
  <c r="AM37" i="1"/>
  <c r="AL37" i="1"/>
  <c r="AG37" i="1"/>
  <c r="AB37" i="1"/>
  <c r="W37" i="1"/>
  <c r="R37" i="1"/>
  <c r="M37" i="1"/>
  <c r="H37" i="1"/>
  <c r="AP36" i="1"/>
  <c r="AO36" i="1"/>
  <c r="AN36" i="1"/>
  <c r="AM36" i="1"/>
  <c r="AL36" i="1"/>
  <c r="AG36" i="1"/>
  <c r="AB36" i="1"/>
  <c r="W36" i="1"/>
  <c r="R36" i="1"/>
  <c r="M36" i="1"/>
  <c r="H36" i="1"/>
  <c r="AP35" i="1"/>
  <c r="AO35" i="1"/>
  <c r="AN35" i="1"/>
  <c r="AM35" i="1"/>
  <c r="AL35" i="1"/>
  <c r="AG35" i="1"/>
  <c r="AB35" i="1"/>
  <c r="W35" i="1"/>
  <c r="R35" i="1"/>
  <c r="M35" i="1"/>
  <c r="H35" i="1"/>
  <c r="AP34" i="1"/>
  <c r="AO34" i="1"/>
  <c r="AN34" i="1"/>
  <c r="AM34" i="1"/>
  <c r="AL34" i="1"/>
  <c r="AG34" i="1"/>
  <c r="AB34" i="1"/>
  <c r="W34" i="1"/>
  <c r="R34" i="1"/>
  <c r="M34" i="1"/>
  <c r="H34" i="1"/>
  <c r="AY33" i="1"/>
  <c r="AZ33" i="1" s="1"/>
  <c r="BA33" i="1" s="1"/>
  <c r="AX33" i="1" s="1"/>
  <c r="AP33" i="1"/>
  <c r="AO33" i="1"/>
  <c r="AN33" i="1"/>
  <c r="AM33" i="1"/>
  <c r="AL33" i="1"/>
  <c r="AG33" i="1"/>
  <c r="AB33" i="1"/>
  <c r="W33" i="1"/>
  <c r="R33" i="1"/>
  <c r="M33" i="1"/>
  <c r="AW33" i="1" s="1"/>
  <c r="H33" i="1"/>
  <c r="AP32" i="1"/>
  <c r="AO32" i="1"/>
  <c r="AN32" i="1"/>
  <c r="AM32" i="1"/>
  <c r="AL32" i="1"/>
  <c r="AG32" i="1"/>
  <c r="AB32" i="1"/>
  <c r="W32" i="1"/>
  <c r="R32" i="1"/>
  <c r="M32" i="1"/>
  <c r="H32" i="1"/>
  <c r="AP31" i="1"/>
  <c r="AO31" i="1"/>
  <c r="AN31" i="1"/>
  <c r="AM31" i="1"/>
  <c r="AL31" i="1"/>
  <c r="AG31" i="1"/>
  <c r="AB31" i="1"/>
  <c r="W31" i="1"/>
  <c r="R31" i="1"/>
  <c r="M31" i="1"/>
  <c r="H31" i="1"/>
  <c r="AP30" i="1"/>
  <c r="AO30" i="1"/>
  <c r="AN30" i="1"/>
  <c r="AM30" i="1"/>
  <c r="AL30" i="1"/>
  <c r="AG30" i="1"/>
  <c r="AB30" i="1"/>
  <c r="W30" i="1"/>
  <c r="R30" i="1"/>
  <c r="M30" i="1"/>
  <c r="H30" i="1"/>
  <c r="AY29" i="1"/>
  <c r="AZ29" i="1" s="1"/>
  <c r="BA29" i="1" s="1"/>
  <c r="AX29" i="1" s="1"/>
  <c r="AP29" i="1"/>
  <c r="AO29" i="1"/>
  <c r="AN29" i="1"/>
  <c r="AM29" i="1"/>
  <c r="AL29" i="1"/>
  <c r="AG29" i="1"/>
  <c r="AB29" i="1"/>
  <c r="W29" i="1"/>
  <c r="R29" i="1"/>
  <c r="M29" i="1"/>
  <c r="H29" i="1"/>
  <c r="AP28" i="1"/>
  <c r="AO28" i="1"/>
  <c r="AN28" i="1"/>
  <c r="AM28" i="1"/>
  <c r="AL28" i="1"/>
  <c r="AG28" i="1"/>
  <c r="AB28" i="1"/>
  <c r="W28" i="1"/>
  <c r="R28" i="1"/>
  <c r="M28" i="1"/>
  <c r="H28" i="1"/>
  <c r="AP27" i="1"/>
  <c r="AO27" i="1"/>
  <c r="AN27" i="1"/>
  <c r="AM27" i="1"/>
  <c r="AL27" i="1"/>
  <c r="AG27" i="1"/>
  <c r="AB27" i="1"/>
  <c r="W27" i="1"/>
  <c r="R27" i="1"/>
  <c r="M27" i="1"/>
  <c r="H27" i="1"/>
  <c r="AP26" i="1"/>
  <c r="AO26" i="1"/>
  <c r="AN26" i="1"/>
  <c r="AM26" i="1"/>
  <c r="AQ26" i="1" s="1"/>
  <c r="AL26" i="1"/>
  <c r="AG26" i="1"/>
  <c r="AB26" i="1"/>
  <c r="W26" i="1"/>
  <c r="R26" i="1"/>
  <c r="M26" i="1"/>
  <c r="H26" i="1"/>
  <c r="AP25" i="1"/>
  <c r="AO25" i="1"/>
  <c r="AN25" i="1"/>
  <c r="AM25" i="1"/>
  <c r="AL25" i="1"/>
  <c r="AG25" i="1"/>
  <c r="AB25" i="1"/>
  <c r="W25" i="1"/>
  <c r="AY25" i="1" s="1"/>
  <c r="AZ25" i="1" s="1"/>
  <c r="BA25" i="1" s="1"/>
  <c r="AX25" i="1" s="1"/>
  <c r="R25" i="1"/>
  <c r="M25" i="1"/>
  <c r="H25" i="1"/>
  <c r="AP24" i="1"/>
  <c r="AO24" i="1"/>
  <c r="AN24" i="1"/>
  <c r="AM24" i="1"/>
  <c r="AL24" i="1"/>
  <c r="AG24" i="1"/>
  <c r="AB24" i="1"/>
  <c r="W24" i="1"/>
  <c r="R24" i="1"/>
  <c r="M24" i="1"/>
  <c r="H24" i="1"/>
  <c r="AU23" i="1"/>
  <c r="AP23" i="1"/>
  <c r="AO23" i="1"/>
  <c r="AN23" i="1"/>
  <c r="AM23" i="1"/>
  <c r="AL23" i="1"/>
  <c r="AG23" i="1"/>
  <c r="AB23" i="1"/>
  <c r="W23" i="1"/>
  <c r="R23" i="1"/>
  <c r="M23" i="1"/>
  <c r="AY23" i="1" s="1"/>
  <c r="AZ23" i="1" s="1"/>
  <c r="BA23" i="1" s="1"/>
  <c r="AX23" i="1" s="1"/>
  <c r="AS23" i="1" s="1"/>
  <c r="H23" i="1"/>
  <c r="AP22" i="1"/>
  <c r="AO22" i="1"/>
  <c r="AN22" i="1"/>
  <c r="AM22" i="1"/>
  <c r="AQ22" i="1" s="1"/>
  <c r="AL22" i="1"/>
  <c r="AG22" i="1"/>
  <c r="AB22" i="1"/>
  <c r="W22" i="1"/>
  <c r="R22" i="1"/>
  <c r="M22" i="1"/>
  <c r="H22" i="1"/>
  <c r="AP21" i="1"/>
  <c r="AO21" i="1"/>
  <c r="AN21" i="1"/>
  <c r="AM21" i="1"/>
  <c r="AL21" i="1"/>
  <c r="AG21" i="1"/>
  <c r="AB21" i="1"/>
  <c r="W21" i="1"/>
  <c r="AY21" i="1" s="1"/>
  <c r="AZ21" i="1" s="1"/>
  <c r="BA21" i="1" s="1"/>
  <c r="AX21" i="1" s="1"/>
  <c r="R21" i="1"/>
  <c r="M21" i="1"/>
  <c r="H21" i="1"/>
  <c r="AP20" i="1"/>
  <c r="AO20" i="1"/>
  <c r="AN20" i="1"/>
  <c r="AM20" i="1"/>
  <c r="AL20" i="1"/>
  <c r="AG20" i="1"/>
  <c r="AB20" i="1"/>
  <c r="W20" i="1"/>
  <c r="R20" i="1"/>
  <c r="M20" i="1"/>
  <c r="H20" i="1"/>
  <c r="AU19" i="1"/>
  <c r="AP19" i="1"/>
  <c r="AO19" i="1"/>
  <c r="AN19" i="1"/>
  <c r="AM19" i="1"/>
  <c r="AL19" i="1"/>
  <c r="AG19" i="1"/>
  <c r="AB19" i="1"/>
  <c r="W19" i="1"/>
  <c r="R19" i="1"/>
  <c r="M19" i="1"/>
  <c r="AY19" i="1" s="1"/>
  <c r="AZ19" i="1" s="1"/>
  <c r="BA19" i="1" s="1"/>
  <c r="AX19" i="1" s="1"/>
  <c r="AS19" i="1" s="1"/>
  <c r="H19" i="1"/>
  <c r="AP18" i="1"/>
  <c r="AO18" i="1"/>
  <c r="AN18" i="1"/>
  <c r="AM18" i="1"/>
  <c r="AQ18" i="1" s="1"/>
  <c r="AL18" i="1"/>
  <c r="AG18" i="1"/>
  <c r="AB18" i="1"/>
  <c r="W18" i="1"/>
  <c r="R18" i="1"/>
  <c r="M18" i="1"/>
  <c r="H18" i="1"/>
  <c r="AP17" i="1"/>
  <c r="AO17" i="1"/>
  <c r="AN17" i="1"/>
  <c r="AM17" i="1"/>
  <c r="AL17" i="1"/>
  <c r="AG17" i="1"/>
  <c r="AB17" i="1"/>
  <c r="W17" i="1"/>
  <c r="AY17" i="1" s="1"/>
  <c r="AZ17" i="1" s="1"/>
  <c r="BA17" i="1" s="1"/>
  <c r="AX17" i="1" s="1"/>
  <c r="R17" i="1"/>
  <c r="M17" i="1"/>
  <c r="H17" i="1"/>
  <c r="AP16" i="1"/>
  <c r="AO16" i="1"/>
  <c r="AN16" i="1"/>
  <c r="AM16" i="1"/>
  <c r="AL16" i="1"/>
  <c r="AG16" i="1"/>
  <c r="AB16" i="1"/>
  <c r="W16" i="1"/>
  <c r="R16" i="1"/>
  <c r="M16" i="1"/>
  <c r="H16" i="1"/>
  <c r="AU15" i="1"/>
  <c r="AP15" i="1"/>
  <c r="AO15" i="1"/>
  <c r="AN15" i="1"/>
  <c r="AM15" i="1"/>
  <c r="AL15" i="1"/>
  <c r="AG15" i="1"/>
  <c r="AB15" i="1"/>
  <c r="W15" i="1"/>
  <c r="R15" i="1"/>
  <c r="M15" i="1"/>
  <c r="AY15" i="1" s="1"/>
  <c r="AZ15" i="1" s="1"/>
  <c r="BA15" i="1" s="1"/>
  <c r="AX15" i="1" s="1"/>
  <c r="AS15" i="1" s="1"/>
  <c r="H15" i="1"/>
  <c r="AP14" i="1"/>
  <c r="AO14" i="1"/>
  <c r="AN14" i="1"/>
  <c r="AM14" i="1"/>
  <c r="AQ14" i="1" s="1"/>
  <c r="AL14" i="1"/>
  <c r="AG14" i="1"/>
  <c r="AB14" i="1"/>
  <c r="W14" i="1"/>
  <c r="R14" i="1"/>
  <c r="M14" i="1"/>
  <c r="H14" i="1"/>
  <c r="AP13" i="1"/>
  <c r="AO13" i="1"/>
  <c r="AN13" i="1"/>
  <c r="AM13" i="1"/>
  <c r="AL13" i="1"/>
  <c r="AG13" i="1"/>
  <c r="AB13" i="1"/>
  <c r="W13" i="1"/>
  <c r="R13" i="1"/>
  <c r="M13" i="1"/>
  <c r="H13" i="1"/>
  <c r="AW13" i="1" s="1"/>
  <c r="AP12" i="1"/>
  <c r="AO12" i="1"/>
  <c r="AN12" i="1"/>
  <c r="AM12" i="1"/>
  <c r="AL12" i="1"/>
  <c r="AG12" i="1"/>
  <c r="AB12" i="1"/>
  <c r="W12" i="1"/>
  <c r="R12" i="1"/>
  <c r="M12" i="1"/>
  <c r="H12" i="1"/>
  <c r="AP11" i="1"/>
  <c r="AO11" i="1"/>
  <c r="AN11" i="1"/>
  <c r="AM11" i="1"/>
  <c r="AL11" i="1"/>
  <c r="AG11" i="1"/>
  <c r="AB11" i="1"/>
  <c r="W11" i="1"/>
  <c r="R11" i="1"/>
  <c r="M11" i="1"/>
  <c r="H11" i="1"/>
  <c r="AW11" i="1" s="1"/>
  <c r="AP10" i="1"/>
  <c r="AO10" i="1"/>
  <c r="AN10" i="1"/>
  <c r="AM10" i="1"/>
  <c r="AQ10" i="1" s="1"/>
  <c r="AL10" i="1"/>
  <c r="AG10" i="1"/>
  <c r="AB10" i="1"/>
  <c r="W10" i="1"/>
  <c r="R10" i="1"/>
  <c r="M10" i="1"/>
  <c r="H10" i="1"/>
  <c r="AW10" i="1" s="1"/>
  <c r="AY9" i="1"/>
  <c r="AZ9" i="1" s="1"/>
  <c r="BA9" i="1" s="1"/>
  <c r="AX9" i="1" s="1"/>
  <c r="AP9" i="1"/>
  <c r="AO9" i="1"/>
  <c r="AN9" i="1"/>
  <c r="AM9" i="1"/>
  <c r="AQ9" i="1" s="1"/>
  <c r="AL9" i="1"/>
  <c r="AG9" i="1"/>
  <c r="AB9" i="1"/>
  <c r="W9" i="1"/>
  <c r="R9" i="1"/>
  <c r="M9" i="1"/>
  <c r="H9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P8" i="1"/>
  <c r="AO8" i="1"/>
  <c r="AN8" i="1"/>
  <c r="AM8" i="1"/>
  <c r="AL8" i="1"/>
  <c r="AG8" i="1"/>
  <c r="AB8" i="1"/>
  <c r="W8" i="1"/>
  <c r="R8" i="1"/>
  <c r="M8" i="1"/>
  <c r="H8" i="1"/>
  <c r="A8" i="1"/>
  <c r="AW7" i="1"/>
  <c r="AP7" i="1"/>
  <c r="AO7" i="1"/>
  <c r="AN7" i="1"/>
  <c r="AM7" i="1"/>
  <c r="AL7" i="1"/>
  <c r="AG7" i="1"/>
  <c r="AB7" i="1"/>
  <c r="W7" i="1"/>
  <c r="R7" i="1"/>
  <c r="M7" i="1"/>
  <c r="H7" i="1"/>
  <c r="AY7" i="1" s="1"/>
  <c r="AZ7" i="1" s="1"/>
  <c r="BA7" i="1" s="1"/>
  <c r="AX7" i="1" s="1"/>
  <c r="A7" i="1"/>
  <c r="AP6" i="1"/>
  <c r="AO6" i="1"/>
  <c r="AN6" i="1"/>
  <c r="AM6" i="1"/>
  <c r="AQ6" i="1" s="1"/>
  <c r="AL6" i="1"/>
  <c r="AG6" i="1"/>
  <c r="AB6" i="1"/>
  <c r="W6" i="1"/>
  <c r="R6" i="1"/>
  <c r="M6" i="1"/>
  <c r="H6" i="1"/>
  <c r="AW6" i="1" s="1"/>
  <c r="AU25" i="1" l="1"/>
  <c r="AS25" i="1"/>
  <c r="AU21" i="1"/>
  <c r="AS21" i="1"/>
  <c r="AS7" i="1"/>
  <c r="AR7" i="1"/>
  <c r="AU9" i="1"/>
  <c r="AT9" i="1"/>
  <c r="AU17" i="1"/>
  <c r="AS17" i="1"/>
  <c r="AU7" i="1"/>
  <c r="AW27" i="1"/>
  <c r="AY27" i="1"/>
  <c r="AZ27" i="1" s="1"/>
  <c r="BA27" i="1" s="1"/>
  <c r="AX27" i="1" s="1"/>
  <c r="AT27" i="1" s="1"/>
  <c r="AS29" i="1"/>
  <c r="AU29" i="1"/>
  <c r="AY35" i="1"/>
  <c r="AZ35" i="1" s="1"/>
  <c r="BA35" i="1" s="1"/>
  <c r="AX35" i="1" s="1"/>
  <c r="AW35" i="1"/>
  <c r="AT35" i="1"/>
  <c r="AS37" i="1"/>
  <c r="AU37" i="1"/>
  <c r="AQ7" i="1"/>
  <c r="AY8" i="1"/>
  <c r="AZ8" i="1" s="1"/>
  <c r="BA8" i="1" s="1"/>
  <c r="AX8" i="1" s="1"/>
  <c r="AU8" i="1" s="1"/>
  <c r="AW8" i="1"/>
  <c r="AW9" i="1"/>
  <c r="AS9" i="1"/>
  <c r="AY10" i="1"/>
  <c r="AZ10" i="1" s="1"/>
  <c r="BA10" i="1" s="1"/>
  <c r="AX10" i="1" s="1"/>
  <c r="AT10" i="1" s="1"/>
  <c r="AY12" i="1"/>
  <c r="AZ12" i="1" s="1"/>
  <c r="BA12" i="1" s="1"/>
  <c r="AX12" i="1" s="1"/>
  <c r="AW12" i="1"/>
  <c r="AY13" i="1"/>
  <c r="AZ13" i="1" s="1"/>
  <c r="BA13" i="1" s="1"/>
  <c r="AX13" i="1" s="1"/>
  <c r="AT13" i="1" s="1"/>
  <c r="AW15" i="1"/>
  <c r="AW17" i="1"/>
  <c r="AU18" i="1"/>
  <c r="AW19" i="1"/>
  <c r="AW21" i="1"/>
  <c r="AW23" i="1"/>
  <c r="AW25" i="1"/>
  <c r="AW29" i="1"/>
  <c r="AW32" i="1"/>
  <c r="AY32" i="1"/>
  <c r="AZ32" i="1" s="1"/>
  <c r="BA32" i="1" s="1"/>
  <c r="AX32" i="1" s="1"/>
  <c r="AS32" i="1"/>
  <c r="AR33" i="1"/>
  <c r="AQ33" i="1"/>
  <c r="AW37" i="1"/>
  <c r="AS6" i="1"/>
  <c r="AT11" i="1"/>
  <c r="AQ11" i="1"/>
  <c r="AU12" i="1"/>
  <c r="AT15" i="1"/>
  <c r="AW16" i="1"/>
  <c r="AY16" i="1"/>
  <c r="AZ16" i="1" s="1"/>
  <c r="BA16" i="1" s="1"/>
  <c r="AX16" i="1" s="1"/>
  <c r="AS16" i="1"/>
  <c r="AT19" i="1"/>
  <c r="AW20" i="1"/>
  <c r="AY20" i="1"/>
  <c r="AZ20" i="1" s="1"/>
  <c r="BA20" i="1" s="1"/>
  <c r="AX20" i="1" s="1"/>
  <c r="AT23" i="1"/>
  <c r="AW24" i="1"/>
  <c r="AY24" i="1"/>
  <c r="AZ24" i="1" s="1"/>
  <c r="BA24" i="1" s="1"/>
  <c r="AX24" i="1" s="1"/>
  <c r="AY31" i="1"/>
  <c r="AZ31" i="1" s="1"/>
  <c r="BA31" i="1" s="1"/>
  <c r="AX31" i="1" s="1"/>
  <c r="AW31" i="1"/>
  <c r="AT31" i="1"/>
  <c r="AU33" i="1"/>
  <c r="AS33" i="1"/>
  <c r="AY39" i="1"/>
  <c r="AZ39" i="1" s="1"/>
  <c r="BA39" i="1" s="1"/>
  <c r="AX39" i="1" s="1"/>
  <c r="AW39" i="1"/>
  <c r="AT39" i="1"/>
  <c r="AR9" i="1"/>
  <c r="AY6" i="1"/>
  <c r="AZ6" i="1" s="1"/>
  <c r="BA6" i="1" s="1"/>
  <c r="AX6" i="1" s="1"/>
  <c r="AT7" i="1"/>
  <c r="AR8" i="1"/>
  <c r="AY11" i="1"/>
  <c r="AZ11" i="1" s="1"/>
  <c r="BA11" i="1" s="1"/>
  <c r="AX11" i="1" s="1"/>
  <c r="AR11" i="1" s="1"/>
  <c r="AR12" i="1"/>
  <c r="AR13" i="1"/>
  <c r="AQ13" i="1"/>
  <c r="AR17" i="1"/>
  <c r="AQ17" i="1"/>
  <c r="AR21" i="1"/>
  <c r="AQ21" i="1"/>
  <c r="AR25" i="1"/>
  <c r="AQ25" i="1"/>
  <c r="AW28" i="1"/>
  <c r="AY28" i="1"/>
  <c r="AZ28" i="1" s="1"/>
  <c r="BA28" i="1" s="1"/>
  <c r="AX28" i="1" s="1"/>
  <c r="AS28" i="1"/>
  <c r="AR29" i="1"/>
  <c r="AV29" i="1" s="1"/>
  <c r="AQ29" i="1"/>
  <c r="AW36" i="1"/>
  <c r="AY36" i="1"/>
  <c r="AZ36" i="1" s="1"/>
  <c r="BA36" i="1" s="1"/>
  <c r="AX36" i="1" s="1"/>
  <c r="AR37" i="1"/>
  <c r="AQ37" i="1"/>
  <c r="AQ8" i="1"/>
  <c r="AY14" i="1"/>
  <c r="AZ14" i="1" s="1"/>
  <c r="BA14" i="1" s="1"/>
  <c r="AX14" i="1" s="1"/>
  <c r="AW14" i="1"/>
  <c r="AS14" i="1"/>
  <c r="AR15" i="1"/>
  <c r="AV15" i="1" s="1"/>
  <c r="AQ15" i="1"/>
  <c r="AU16" i="1"/>
  <c r="AT17" i="1"/>
  <c r="AY18" i="1"/>
  <c r="AZ18" i="1" s="1"/>
  <c r="BA18" i="1" s="1"/>
  <c r="AX18" i="1" s="1"/>
  <c r="AW18" i="1"/>
  <c r="AS18" i="1"/>
  <c r="AR19" i="1"/>
  <c r="AV19" i="1" s="1"/>
  <c r="AQ19" i="1"/>
  <c r="AT21" i="1"/>
  <c r="AY22" i="1"/>
  <c r="AZ22" i="1" s="1"/>
  <c r="BA22" i="1" s="1"/>
  <c r="AX22" i="1" s="1"/>
  <c r="AS22" i="1" s="1"/>
  <c r="AW22" i="1"/>
  <c r="AR23" i="1"/>
  <c r="AV23" i="1" s="1"/>
  <c r="AQ23" i="1"/>
  <c r="AT25" i="1"/>
  <c r="AY26" i="1"/>
  <c r="AZ26" i="1" s="1"/>
  <c r="BA26" i="1" s="1"/>
  <c r="AX26" i="1" s="1"/>
  <c r="AU26" i="1" s="1"/>
  <c r="AW26" i="1"/>
  <c r="AR27" i="1"/>
  <c r="AQ27" i="1"/>
  <c r="AU28" i="1"/>
  <c r="AT29" i="1"/>
  <c r="AY30" i="1"/>
  <c r="AZ30" i="1" s="1"/>
  <c r="BA30" i="1" s="1"/>
  <c r="AX30" i="1" s="1"/>
  <c r="AW30" i="1"/>
  <c r="AS30" i="1"/>
  <c r="AR31" i="1"/>
  <c r="AQ31" i="1"/>
  <c r="AU32" i="1"/>
  <c r="AT33" i="1"/>
  <c r="AY34" i="1"/>
  <c r="AZ34" i="1" s="1"/>
  <c r="BA34" i="1" s="1"/>
  <c r="AX34" i="1" s="1"/>
  <c r="AW34" i="1"/>
  <c r="AS34" i="1"/>
  <c r="AR35" i="1"/>
  <c r="AQ35" i="1"/>
  <c r="AT37" i="1"/>
  <c r="AY38" i="1"/>
  <c r="AZ38" i="1" s="1"/>
  <c r="BA38" i="1" s="1"/>
  <c r="AX38" i="1" s="1"/>
  <c r="AS38" i="1" s="1"/>
  <c r="AW38" i="1"/>
  <c r="AR39" i="1"/>
  <c r="AQ39" i="1"/>
  <c r="AQ30" i="1"/>
  <c r="AQ34" i="1"/>
  <c r="AQ38" i="1"/>
  <c r="AQ12" i="1"/>
  <c r="AQ16" i="1"/>
  <c r="AQ20" i="1"/>
  <c r="AQ24" i="1"/>
  <c r="AQ28" i="1"/>
  <c r="AQ32" i="1"/>
  <c r="AQ36" i="1"/>
  <c r="AW40" i="1"/>
  <c r="AQ40" i="1"/>
  <c r="AY40" i="1"/>
  <c r="AZ40" i="1" s="1"/>
  <c r="BA40" i="1" s="1"/>
  <c r="AX40" i="1" s="1"/>
  <c r="AR30" i="1" l="1"/>
  <c r="AT30" i="1"/>
  <c r="AT14" i="1"/>
  <c r="AR14" i="1"/>
  <c r="AV14" i="1" s="1"/>
  <c r="AV25" i="1"/>
  <c r="AV17" i="1"/>
  <c r="AU6" i="1"/>
  <c r="AR6" i="1"/>
  <c r="AS39" i="1"/>
  <c r="AU39" i="1"/>
  <c r="AS10" i="1"/>
  <c r="AS12" i="1"/>
  <c r="AV12" i="1" s="1"/>
  <c r="AT12" i="1"/>
  <c r="AT6" i="1"/>
  <c r="AS40" i="1"/>
  <c r="AT40" i="1"/>
  <c r="AR26" i="1"/>
  <c r="AT26" i="1"/>
  <c r="AU38" i="1"/>
  <c r="AR36" i="1"/>
  <c r="AT36" i="1"/>
  <c r="AR24" i="1"/>
  <c r="AT24" i="1"/>
  <c r="AR20" i="1"/>
  <c r="AT20" i="1"/>
  <c r="AR16" i="1"/>
  <c r="AT16" i="1"/>
  <c r="AV33" i="1"/>
  <c r="AU22" i="1"/>
  <c r="AU36" i="1"/>
  <c r="AV27" i="1"/>
  <c r="AU20" i="1"/>
  <c r="AU40" i="1"/>
  <c r="AR40" i="1"/>
  <c r="AV40" i="1" s="1"/>
  <c r="AR34" i="1"/>
  <c r="AV34" i="1" s="1"/>
  <c r="AT34" i="1"/>
  <c r="AS26" i="1"/>
  <c r="AU24" i="1"/>
  <c r="AT18" i="1"/>
  <c r="AR18" i="1"/>
  <c r="AV18" i="1" s="1"/>
  <c r="AV37" i="1"/>
  <c r="AU30" i="1"/>
  <c r="AR28" i="1"/>
  <c r="AT28" i="1"/>
  <c r="AV9" i="1"/>
  <c r="AS31" i="1"/>
  <c r="AV31" i="1" s="1"/>
  <c r="AU31" i="1"/>
  <c r="AU34" i="1"/>
  <c r="AR32" i="1"/>
  <c r="AT32" i="1"/>
  <c r="AU14" i="1"/>
  <c r="AU11" i="1"/>
  <c r="AS35" i="1"/>
  <c r="AU35" i="1"/>
  <c r="AV35" i="1" s="1"/>
  <c r="AS27" i="1"/>
  <c r="AU27" i="1"/>
  <c r="AV7" i="1"/>
  <c r="AV39" i="1"/>
  <c r="AT38" i="1"/>
  <c r="AR38" i="1"/>
  <c r="AT22" i="1"/>
  <c r="AR22" i="1"/>
  <c r="AS36" i="1"/>
  <c r="AV21" i="1"/>
  <c r="AV13" i="1"/>
  <c r="AS24" i="1"/>
  <c r="AS20" i="1"/>
  <c r="AU13" i="1"/>
  <c r="AS13" i="1"/>
  <c r="AU10" i="1"/>
  <c r="AR10" i="1"/>
  <c r="AV10" i="1" s="1"/>
  <c r="AS8" i="1"/>
  <c r="AV8" i="1" s="1"/>
  <c r="AT8" i="1"/>
  <c r="AS11" i="1"/>
  <c r="AV11" i="1" s="1"/>
  <c r="AV32" i="1" l="1"/>
  <c r="AV24" i="1"/>
  <c r="AV16" i="1"/>
  <c r="AV38" i="1"/>
  <c r="AV22" i="1"/>
  <c r="AV28" i="1"/>
  <c r="AV20" i="1"/>
  <c r="AV26" i="1"/>
  <c r="AV36" i="1"/>
  <c r="AV6" i="1"/>
  <c r="AV30" i="1"/>
</calcChain>
</file>

<file path=xl/sharedStrings.xml><?xml version="1.0" encoding="utf-8"?>
<sst xmlns="http://schemas.openxmlformats.org/spreadsheetml/2006/main" count="113" uniqueCount="58">
  <si>
    <t>Rotary Pratishthan's</t>
  </si>
  <si>
    <t>Rotary English Medium School Khed</t>
  </si>
  <si>
    <t>VII Sunita Williams Consolidated IIT Test Result 2024-25</t>
  </si>
  <si>
    <t>Sr. No.</t>
  </si>
  <si>
    <t>Exam Roll No.</t>
  </si>
  <si>
    <t>Name of the Student</t>
  </si>
  <si>
    <t>23.06.2024</t>
  </si>
  <si>
    <t>21.07.2024</t>
  </si>
  <si>
    <t>18.08.2024</t>
  </si>
  <si>
    <t>19.10.2025</t>
  </si>
  <si>
    <t>08.12.2024</t>
  </si>
  <si>
    <t>19.01.2025</t>
  </si>
  <si>
    <t>15.03.2025</t>
  </si>
  <si>
    <t>Total Marks</t>
  </si>
  <si>
    <t>Average Score</t>
  </si>
  <si>
    <t>Not Attended</t>
  </si>
  <si>
    <t>Attended</t>
  </si>
  <si>
    <t>Phy</t>
  </si>
  <si>
    <t>Chem</t>
  </si>
  <si>
    <t>Maths.</t>
  </si>
  <si>
    <t>Bio.</t>
  </si>
  <si>
    <t>Total</t>
  </si>
  <si>
    <t>Neha Anant Bhagane</t>
  </si>
  <si>
    <t>Jiya Yogesh Chavan</t>
  </si>
  <si>
    <t>Mrunmayee Makarand Damle</t>
  </si>
  <si>
    <t>Rajasvi Vasant Dongare</t>
  </si>
  <si>
    <t>Sawari Rahul Gadbail</t>
  </si>
  <si>
    <t>Shreya Suraj Gaikar</t>
  </si>
  <si>
    <t>Saee Santosh Kadam</t>
  </si>
  <si>
    <t>Kavya Umesh Kamble</t>
  </si>
  <si>
    <t>Samruddhi Jagdeep Kothare</t>
  </si>
  <si>
    <t>Sharon Dasu Mukku</t>
  </si>
  <si>
    <t>Noorain Jameel Parkar</t>
  </si>
  <si>
    <t>Swara Sharad Pore</t>
  </si>
  <si>
    <t>Shristi Dinesh Rane</t>
  </si>
  <si>
    <t>Swara Bipin Shaha</t>
  </si>
  <si>
    <t>Prisha Prabhakar Shigvan</t>
  </si>
  <si>
    <t>Falaq Sameer Tisekar</t>
  </si>
  <si>
    <t>Shlok Pravin Agre</t>
  </si>
  <si>
    <t>Sumeet Sameer Bhosale</t>
  </si>
  <si>
    <t>Adam Imran Dalvi</t>
  </si>
  <si>
    <t>Yuvraj Sushil Deogharkar</t>
  </si>
  <si>
    <t>Pranav Pandurang Devkatte</t>
  </si>
  <si>
    <t>Spandan Gaurav Dhamane</t>
  </si>
  <si>
    <t>0</t>
  </si>
  <si>
    <t>Pranav Niteen Gangarde</t>
  </si>
  <si>
    <t>Shourya Sameer Gawas</t>
  </si>
  <si>
    <t>Shlok Sandip Gharat</t>
  </si>
  <si>
    <t>Harshit Sandip Kohapare</t>
  </si>
  <si>
    <t>Advait Paresh Malangaonkar</t>
  </si>
  <si>
    <t>Aayush Ashok Malekar</t>
  </si>
  <si>
    <t>Aaradhy Amit Mehta</t>
  </si>
  <si>
    <t>Samarth Sanjeev Nerurkar</t>
  </si>
  <si>
    <t>Aftab Kamaal Qazi</t>
  </si>
  <si>
    <t>Mayank Avinash Salunkhe</t>
  </si>
  <si>
    <t>Raau Shivprasad Shinde</t>
  </si>
  <si>
    <t>Zamir Nawaz Tadvi</t>
  </si>
  <si>
    <t>Swayam Mahesh Virkar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</si>
</sst>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rgb="FF5F9025"/>
      <name val="Arial Unicode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1" fontId="3" fillId="0" borderId="2" xfId="0" applyNumberFormat="1" applyFont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 textRotation="90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quotePrefix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79FF-55F4-406F-8F83-8486B8C10831}">
  <dimension ref="A1:BA40"/>
  <sheetViews>
    <sheetView tabSelected="1" view="pageBreakPreview" zoomScale="70" zoomScaleNormal="100" zoomScaleSheetLayoutView="70" workbookViewId="0">
      <pane xSplit="3" ySplit="5" topLeftCell="G15" activePane="bottomRight" state="frozen"/>
      <selection pane="topRight" activeCell="D1" sqref="D1"/>
      <selection pane="bottomLeft" activeCell="A6" sqref="A6"/>
      <selection pane="bottomRight" activeCell="X32" sqref="X32"/>
    </sheetView>
  </sheetViews>
  <sheetFormatPr defaultRowHeight="15" x14ac:dyDescent="0.2"/>
  <cols>
    <col min="1" max="1" width="4.375" style="2" customWidth="1"/>
    <col min="2" max="2" width="9.375" style="2" customWidth="1"/>
    <col min="3" max="3" width="25.625" style="2" bestFit="1" customWidth="1"/>
    <col min="4" max="4" width="3.875" style="2" bestFit="1" customWidth="1"/>
    <col min="5" max="7" width="2.875" style="2" bestFit="1" customWidth="1"/>
    <col min="8" max="8" width="3.875" style="3" bestFit="1" customWidth="1"/>
    <col min="9" max="9" width="2.875" style="2" bestFit="1" customWidth="1"/>
    <col min="10" max="12" width="3.875" style="2" bestFit="1" customWidth="1"/>
    <col min="13" max="13" width="3.875" style="3" bestFit="1" customWidth="1"/>
    <col min="14" max="14" width="2.875" style="2" bestFit="1" customWidth="1"/>
    <col min="15" max="17" width="3.875" style="2" bestFit="1" customWidth="1"/>
    <col min="18" max="18" width="3.875" style="3" bestFit="1" customWidth="1"/>
    <col min="19" max="20" width="2.875" style="3" bestFit="1" customWidth="1"/>
    <col min="21" max="23" width="3.875" style="3" bestFit="1" customWidth="1"/>
    <col min="24" max="27" width="3.875" style="2" bestFit="1" customWidth="1"/>
    <col min="28" max="28" width="3.875" style="3" bestFit="1" customWidth="1"/>
    <col min="29" max="32" width="3.875" style="2" bestFit="1" customWidth="1"/>
    <col min="33" max="33" width="3.875" style="3" bestFit="1" customWidth="1"/>
    <col min="34" max="34" width="3.25" style="2" bestFit="1" customWidth="1"/>
    <col min="35" max="37" width="3.875" style="2" bestFit="1" customWidth="1"/>
    <col min="38" max="38" width="3.875" style="3" bestFit="1" customWidth="1"/>
    <col min="39" max="42" width="3.5" style="2" bestFit="1" customWidth="1"/>
    <col min="43" max="43" width="4.875" style="2" bestFit="1" customWidth="1"/>
    <col min="44" max="47" width="5.875" style="2" bestFit="1" customWidth="1"/>
    <col min="48" max="48" width="5.375" style="4" bestFit="1" customWidth="1"/>
    <col min="49" max="49" width="12.5" style="2" bestFit="1" customWidth="1"/>
    <col min="50" max="50" width="8.875" style="2" bestFit="1" customWidth="1"/>
    <col min="51" max="53" width="1.875" style="2" bestFit="1" customWidth="1"/>
    <col min="54" max="16384" width="9" style="2"/>
  </cols>
  <sheetData>
    <row r="1" spans="1:53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53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53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53" s="7" customFormat="1" ht="15" customHeight="1" x14ac:dyDescent="0.2">
      <c r="A4" s="6" t="s">
        <v>3</v>
      </c>
      <c r="B4" s="6" t="s">
        <v>4</v>
      </c>
      <c r="C4" s="6" t="s">
        <v>5</v>
      </c>
      <c r="D4" s="6" t="s">
        <v>6</v>
      </c>
      <c r="E4" s="6"/>
      <c r="F4" s="6"/>
      <c r="G4" s="6"/>
      <c r="H4" s="6"/>
      <c r="I4" s="6" t="s">
        <v>7</v>
      </c>
      <c r="J4" s="6"/>
      <c r="K4" s="6"/>
      <c r="L4" s="6"/>
      <c r="M4" s="6"/>
      <c r="N4" s="6" t="s">
        <v>8</v>
      </c>
      <c r="O4" s="6"/>
      <c r="P4" s="6"/>
      <c r="Q4" s="6"/>
      <c r="R4" s="6"/>
      <c r="S4" s="6" t="s">
        <v>9</v>
      </c>
      <c r="T4" s="6"/>
      <c r="U4" s="6"/>
      <c r="V4" s="6"/>
      <c r="W4" s="6"/>
      <c r="X4" s="6" t="s">
        <v>10</v>
      </c>
      <c r="Y4" s="6"/>
      <c r="Z4" s="6"/>
      <c r="AA4" s="6"/>
      <c r="AB4" s="6"/>
      <c r="AC4" s="6" t="s">
        <v>11</v>
      </c>
      <c r="AD4" s="6"/>
      <c r="AE4" s="6"/>
      <c r="AF4" s="6"/>
      <c r="AG4" s="6"/>
      <c r="AH4" s="6" t="s">
        <v>12</v>
      </c>
      <c r="AI4" s="6"/>
      <c r="AJ4" s="6"/>
      <c r="AK4" s="6"/>
      <c r="AL4" s="6"/>
      <c r="AM4" s="6" t="s">
        <v>13</v>
      </c>
      <c r="AN4" s="6"/>
      <c r="AO4" s="6"/>
      <c r="AP4" s="6"/>
      <c r="AQ4" s="6"/>
      <c r="AR4" s="6" t="s">
        <v>14</v>
      </c>
      <c r="AS4" s="6"/>
      <c r="AT4" s="6"/>
      <c r="AU4" s="6"/>
      <c r="AV4" s="6"/>
      <c r="AW4" s="6" t="s">
        <v>15</v>
      </c>
      <c r="AX4" s="6" t="s">
        <v>16</v>
      </c>
    </row>
    <row r="5" spans="1:53" s="11" customFormat="1" ht="40.5" customHeight="1" x14ac:dyDescent="0.2">
      <c r="A5" s="6"/>
      <c r="B5" s="6"/>
      <c r="C5" s="6"/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17</v>
      </c>
      <c r="J5" s="8" t="s">
        <v>18</v>
      </c>
      <c r="K5" s="8" t="s">
        <v>19</v>
      </c>
      <c r="L5" s="8" t="s">
        <v>20</v>
      </c>
      <c r="M5" s="8" t="s">
        <v>21</v>
      </c>
      <c r="N5" s="8" t="s">
        <v>17</v>
      </c>
      <c r="O5" s="8" t="s">
        <v>18</v>
      </c>
      <c r="P5" s="8" t="s">
        <v>19</v>
      </c>
      <c r="Q5" s="8" t="s">
        <v>20</v>
      </c>
      <c r="R5" s="8" t="s">
        <v>21</v>
      </c>
      <c r="S5" s="8" t="s">
        <v>17</v>
      </c>
      <c r="T5" s="8" t="s">
        <v>18</v>
      </c>
      <c r="U5" s="8" t="s">
        <v>19</v>
      </c>
      <c r="V5" s="8" t="s">
        <v>20</v>
      </c>
      <c r="W5" s="8" t="s">
        <v>21</v>
      </c>
      <c r="X5" s="8" t="s">
        <v>17</v>
      </c>
      <c r="Y5" s="8" t="s">
        <v>18</v>
      </c>
      <c r="Z5" s="8" t="s">
        <v>19</v>
      </c>
      <c r="AA5" s="8" t="s">
        <v>20</v>
      </c>
      <c r="AB5" s="8" t="s">
        <v>21</v>
      </c>
      <c r="AC5" s="8" t="s">
        <v>17</v>
      </c>
      <c r="AD5" s="8" t="s">
        <v>18</v>
      </c>
      <c r="AE5" s="8" t="s">
        <v>19</v>
      </c>
      <c r="AF5" s="8" t="s">
        <v>20</v>
      </c>
      <c r="AG5" s="8" t="s">
        <v>21</v>
      </c>
      <c r="AH5" s="9" t="s">
        <v>17</v>
      </c>
      <c r="AI5" s="9" t="s">
        <v>18</v>
      </c>
      <c r="AJ5" s="9" t="s">
        <v>19</v>
      </c>
      <c r="AK5" s="9" t="s">
        <v>20</v>
      </c>
      <c r="AL5" s="9" t="s">
        <v>21</v>
      </c>
      <c r="AM5" s="9" t="s">
        <v>17</v>
      </c>
      <c r="AN5" s="9" t="s">
        <v>18</v>
      </c>
      <c r="AO5" s="9" t="s">
        <v>19</v>
      </c>
      <c r="AP5" s="9" t="s">
        <v>20</v>
      </c>
      <c r="AQ5" s="9" t="s">
        <v>21</v>
      </c>
      <c r="AR5" s="9" t="s">
        <v>17</v>
      </c>
      <c r="AS5" s="9" t="s">
        <v>18</v>
      </c>
      <c r="AT5" s="9" t="s">
        <v>19</v>
      </c>
      <c r="AU5" s="9" t="s">
        <v>20</v>
      </c>
      <c r="AV5" s="10" t="s">
        <v>21</v>
      </c>
      <c r="AW5" s="6"/>
      <c r="AX5" s="6"/>
    </row>
    <row r="6" spans="1:53" x14ac:dyDescent="0.3">
      <c r="A6" s="12">
        <v>1</v>
      </c>
      <c r="B6" s="12">
        <v>24072001</v>
      </c>
      <c r="C6" s="13" t="s">
        <v>22</v>
      </c>
      <c r="D6" s="14">
        <v>95</v>
      </c>
      <c r="E6" s="14">
        <v>77</v>
      </c>
      <c r="F6" s="14">
        <v>75</v>
      </c>
      <c r="G6" s="14">
        <v>90</v>
      </c>
      <c r="H6" s="15">
        <f>SUM(D6:G6)</f>
        <v>337</v>
      </c>
      <c r="I6" s="14">
        <v>77</v>
      </c>
      <c r="J6" s="14">
        <v>85</v>
      </c>
      <c r="K6" s="14">
        <v>90</v>
      </c>
      <c r="L6" s="14">
        <v>95</v>
      </c>
      <c r="M6" s="15">
        <f>SUM(I6:L6)</f>
        <v>347</v>
      </c>
      <c r="N6" s="14">
        <v>85</v>
      </c>
      <c r="O6" s="14">
        <v>90</v>
      </c>
      <c r="P6" s="14">
        <v>70</v>
      </c>
      <c r="Q6" s="14">
        <v>91</v>
      </c>
      <c r="R6" s="15">
        <f>SUM(N6:Q6)</f>
        <v>336</v>
      </c>
      <c r="S6" s="16">
        <v>85</v>
      </c>
      <c r="T6" s="16">
        <v>80</v>
      </c>
      <c r="U6" s="16">
        <v>90</v>
      </c>
      <c r="V6" s="16">
        <v>75</v>
      </c>
      <c r="W6" s="15">
        <f>SUM(S6:V6)</f>
        <v>330</v>
      </c>
      <c r="X6" s="14">
        <v>75</v>
      </c>
      <c r="Y6" s="14">
        <v>70</v>
      </c>
      <c r="Z6" s="14">
        <v>85</v>
      </c>
      <c r="AA6" s="14">
        <v>95</v>
      </c>
      <c r="AB6" s="15">
        <f>SUM(X6:AA6)</f>
        <v>325</v>
      </c>
      <c r="AC6" s="14">
        <v>75</v>
      </c>
      <c r="AD6" s="14">
        <v>86</v>
      </c>
      <c r="AE6" s="14">
        <v>82</v>
      </c>
      <c r="AF6" s="14">
        <v>100</v>
      </c>
      <c r="AG6" s="15">
        <f>SUM(AC6:AF6)</f>
        <v>343</v>
      </c>
      <c r="AH6" s="14">
        <v>80</v>
      </c>
      <c r="AI6" s="14">
        <v>70</v>
      </c>
      <c r="AJ6" s="14">
        <v>78</v>
      </c>
      <c r="AK6" s="14">
        <v>80</v>
      </c>
      <c r="AL6" s="15">
        <f>SUM(AH6:AK6)</f>
        <v>308</v>
      </c>
      <c r="AM6" s="17">
        <f>+D6+I6+N6+S6+X6+AC6+AH6</f>
        <v>572</v>
      </c>
      <c r="AN6" s="17">
        <f>+E6+J6+O6+T6+Y6+AD6+AI6</f>
        <v>558</v>
      </c>
      <c r="AO6" s="17">
        <f>+F6+K6+P6+U6+Z6+AE6+AJ6</f>
        <v>570</v>
      </c>
      <c r="AP6" s="17">
        <f>+G6+L6+Q6+V6+AA6+AF6+AK6</f>
        <v>626</v>
      </c>
      <c r="AQ6" s="15">
        <f>SUM(AM6:AP6)</f>
        <v>2326</v>
      </c>
      <c r="AR6" s="14">
        <f>+AM6/AX6</f>
        <v>81.714285714285708</v>
      </c>
      <c r="AS6" s="14">
        <f>+AN6/AX6</f>
        <v>79.714285714285708</v>
      </c>
      <c r="AT6" s="14">
        <f>+AO6/AX6</f>
        <v>81.428571428571431</v>
      </c>
      <c r="AU6" s="14">
        <f>+AP6/AX6</f>
        <v>89.428571428571431</v>
      </c>
      <c r="AV6" s="18">
        <f>SUM(AR6:AU6)</f>
        <v>332.28571428571428</v>
      </c>
      <c r="AW6" s="19">
        <f>COUNTIF(D6:AL6,0)/5</f>
        <v>0</v>
      </c>
      <c r="AX6" s="12">
        <f>+BA6</f>
        <v>7</v>
      </c>
      <c r="AY6" s="20">
        <f>COUNTIF(D6:AL6,"&gt;0")</f>
        <v>35</v>
      </c>
      <c r="AZ6" s="2">
        <f>+AY6/5</f>
        <v>7</v>
      </c>
      <c r="BA6" s="2">
        <f>ROUND((AZ6),0)</f>
        <v>7</v>
      </c>
    </row>
    <row r="7" spans="1:53" x14ac:dyDescent="0.3">
      <c r="A7" s="12">
        <f>+A6+1</f>
        <v>2</v>
      </c>
      <c r="B7" s="12">
        <v>24072002</v>
      </c>
      <c r="C7" s="13" t="s">
        <v>23</v>
      </c>
      <c r="D7" s="14">
        <v>80</v>
      </c>
      <c r="E7" s="14">
        <v>90</v>
      </c>
      <c r="F7" s="14">
        <v>75</v>
      </c>
      <c r="G7" s="14">
        <v>95</v>
      </c>
      <c r="H7" s="15">
        <f>SUM(D7:G7)</f>
        <v>340</v>
      </c>
      <c r="I7" s="14">
        <v>76</v>
      </c>
      <c r="J7" s="14">
        <v>100</v>
      </c>
      <c r="K7" s="14">
        <v>61</v>
      </c>
      <c r="L7" s="14">
        <v>95</v>
      </c>
      <c r="M7" s="15">
        <f>SUM(I7:L7)</f>
        <v>332</v>
      </c>
      <c r="N7" s="14">
        <v>85</v>
      </c>
      <c r="O7" s="14">
        <v>85</v>
      </c>
      <c r="P7" s="14">
        <v>85</v>
      </c>
      <c r="Q7" s="14">
        <v>75</v>
      </c>
      <c r="R7" s="15">
        <f>SUM(N7:Q7)</f>
        <v>330</v>
      </c>
      <c r="S7" s="16">
        <v>70</v>
      </c>
      <c r="T7" s="16">
        <v>95</v>
      </c>
      <c r="U7" s="16">
        <v>65</v>
      </c>
      <c r="V7" s="16">
        <v>80</v>
      </c>
      <c r="W7" s="15">
        <f>SUM(S7:V7)</f>
        <v>310</v>
      </c>
      <c r="X7" s="14">
        <v>75</v>
      </c>
      <c r="Y7" s="14">
        <v>90</v>
      </c>
      <c r="Z7" s="14">
        <v>63</v>
      </c>
      <c r="AA7" s="14">
        <v>95</v>
      </c>
      <c r="AB7" s="15">
        <f>SUM(X7:AA7)</f>
        <v>323</v>
      </c>
      <c r="AC7" s="14">
        <v>60</v>
      </c>
      <c r="AD7" s="14">
        <v>90</v>
      </c>
      <c r="AE7" s="14">
        <v>61</v>
      </c>
      <c r="AF7" s="14">
        <v>85</v>
      </c>
      <c r="AG7" s="15">
        <f>SUM(AC7:AF7)</f>
        <v>296</v>
      </c>
      <c r="AH7" s="14">
        <v>80</v>
      </c>
      <c r="AI7" s="14">
        <v>85</v>
      </c>
      <c r="AJ7" s="14">
        <v>61</v>
      </c>
      <c r="AK7" s="14">
        <v>66</v>
      </c>
      <c r="AL7" s="15">
        <f>SUM(AH7:AK7)</f>
        <v>292</v>
      </c>
      <c r="AM7" s="17">
        <f>+D7+I7+N7+S7+X7+AC7+AH7</f>
        <v>526</v>
      </c>
      <c r="AN7" s="17">
        <f>+E7+J7+O7+T7+Y7+AD7+AI7</f>
        <v>635</v>
      </c>
      <c r="AO7" s="17">
        <f>+F7+K7+P7+U7+Z7+AE7+AJ7</f>
        <v>471</v>
      </c>
      <c r="AP7" s="17">
        <f>+G7+L7+Q7+V7+AA7+AF7+AK7</f>
        <v>591</v>
      </c>
      <c r="AQ7" s="15">
        <f>SUM(AM7:AP7)</f>
        <v>2223</v>
      </c>
      <c r="AR7" s="14">
        <f>+AM7/AX7</f>
        <v>75.142857142857139</v>
      </c>
      <c r="AS7" s="14">
        <f>+AN7/AX7</f>
        <v>90.714285714285708</v>
      </c>
      <c r="AT7" s="14">
        <f>+AO7/AX7</f>
        <v>67.285714285714292</v>
      </c>
      <c r="AU7" s="14">
        <f>+AP7/AX7</f>
        <v>84.428571428571431</v>
      </c>
      <c r="AV7" s="18">
        <f>SUM(AR7:AU7)</f>
        <v>317.57142857142856</v>
      </c>
      <c r="AW7" s="19">
        <f>COUNTIF(D7:AL7,0)/5</f>
        <v>0</v>
      </c>
      <c r="AX7" s="12">
        <f>+BA7</f>
        <v>7</v>
      </c>
      <c r="AY7" s="20">
        <f>COUNTIF(D7:AL7,"&gt;0")</f>
        <v>35</v>
      </c>
      <c r="AZ7" s="2">
        <f>+AY7/5</f>
        <v>7</v>
      </c>
      <c r="BA7" s="2">
        <f>ROUND((AZ7),0)</f>
        <v>7</v>
      </c>
    </row>
    <row r="8" spans="1:53" x14ac:dyDescent="0.3">
      <c r="A8" s="12">
        <f t="shared" ref="A8:A40" si="0">+A7+1</f>
        <v>3</v>
      </c>
      <c r="B8" s="12">
        <v>24072003</v>
      </c>
      <c r="C8" s="13" t="s">
        <v>24</v>
      </c>
      <c r="D8" s="14">
        <v>90</v>
      </c>
      <c r="E8" s="14">
        <v>60</v>
      </c>
      <c r="F8" s="14">
        <v>85</v>
      </c>
      <c r="G8" s="14">
        <v>85</v>
      </c>
      <c r="H8" s="15">
        <f>SUM(D8:G8)</f>
        <v>320</v>
      </c>
      <c r="I8" s="14">
        <v>62</v>
      </c>
      <c r="J8" s="14">
        <v>86</v>
      </c>
      <c r="K8" s="14">
        <v>80</v>
      </c>
      <c r="L8" s="14">
        <v>100</v>
      </c>
      <c r="M8" s="15">
        <f>SUM(I8:L8)</f>
        <v>328</v>
      </c>
      <c r="N8" s="14">
        <v>76</v>
      </c>
      <c r="O8" s="14">
        <v>90</v>
      </c>
      <c r="P8" s="14">
        <v>91</v>
      </c>
      <c r="Q8" s="14">
        <v>66</v>
      </c>
      <c r="R8" s="15">
        <f>SUM(N8:Q8)</f>
        <v>323</v>
      </c>
      <c r="S8" s="16">
        <v>75</v>
      </c>
      <c r="T8" s="16">
        <v>90</v>
      </c>
      <c r="U8" s="16">
        <v>86</v>
      </c>
      <c r="V8" s="16">
        <v>77</v>
      </c>
      <c r="W8" s="15">
        <f>SUM(S8:V8)</f>
        <v>328</v>
      </c>
      <c r="X8" s="14">
        <v>90</v>
      </c>
      <c r="Y8" s="14">
        <v>85</v>
      </c>
      <c r="Z8" s="14">
        <v>75</v>
      </c>
      <c r="AA8" s="14">
        <v>85</v>
      </c>
      <c r="AB8" s="15">
        <f>SUM(X8:AA8)</f>
        <v>335</v>
      </c>
      <c r="AC8" s="14">
        <v>60</v>
      </c>
      <c r="AD8" s="14">
        <v>70</v>
      </c>
      <c r="AE8" s="14">
        <v>71</v>
      </c>
      <c r="AF8" s="14">
        <v>95</v>
      </c>
      <c r="AG8" s="15">
        <f>SUM(AC8:AF8)</f>
        <v>296</v>
      </c>
      <c r="AH8" s="14">
        <v>76</v>
      </c>
      <c r="AI8" s="14">
        <v>75</v>
      </c>
      <c r="AJ8" s="14">
        <v>66</v>
      </c>
      <c r="AK8" s="14">
        <v>70</v>
      </c>
      <c r="AL8" s="15">
        <f>SUM(AH8:AK8)</f>
        <v>287</v>
      </c>
      <c r="AM8" s="17">
        <f>+D8+I8+N8+S8+X8+AC8+AH8</f>
        <v>529</v>
      </c>
      <c r="AN8" s="17">
        <f>+E8+J8+O8+T8+Y8+AD8+AI8</f>
        <v>556</v>
      </c>
      <c r="AO8" s="17">
        <f>+F8+K8+P8+U8+Z8+AE8+AJ8</f>
        <v>554</v>
      </c>
      <c r="AP8" s="17">
        <f>+G8+L8+Q8+V8+AA8+AF8+AK8</f>
        <v>578</v>
      </c>
      <c r="AQ8" s="15">
        <f>SUM(AM8:AP8)</f>
        <v>2217</v>
      </c>
      <c r="AR8" s="14">
        <f>+AM8/AX8</f>
        <v>75.571428571428569</v>
      </c>
      <c r="AS8" s="14">
        <f>+AN8/AX8</f>
        <v>79.428571428571431</v>
      </c>
      <c r="AT8" s="14">
        <f>+AO8/AX8</f>
        <v>79.142857142857139</v>
      </c>
      <c r="AU8" s="14">
        <f>+AP8/AX8</f>
        <v>82.571428571428569</v>
      </c>
      <c r="AV8" s="18">
        <f>SUM(AR8:AU8)</f>
        <v>316.71428571428572</v>
      </c>
      <c r="AW8" s="19">
        <f>COUNTIF(D8:AL8,0)/5</f>
        <v>0</v>
      </c>
      <c r="AX8" s="12">
        <f>+BA8</f>
        <v>7</v>
      </c>
      <c r="AY8" s="20">
        <f>COUNTIF(D8:AL8,"&gt;0")</f>
        <v>35</v>
      </c>
      <c r="AZ8" s="2">
        <f>+AY8/5</f>
        <v>7</v>
      </c>
      <c r="BA8" s="2">
        <f>ROUND((AZ8),0)</f>
        <v>7</v>
      </c>
    </row>
    <row r="9" spans="1:53" x14ac:dyDescent="0.3">
      <c r="A9" s="12">
        <f t="shared" si="0"/>
        <v>4</v>
      </c>
      <c r="B9" s="12">
        <v>24072004</v>
      </c>
      <c r="C9" s="13" t="s">
        <v>25</v>
      </c>
      <c r="D9" s="14">
        <v>70</v>
      </c>
      <c r="E9" s="14">
        <v>56</v>
      </c>
      <c r="F9" s="14">
        <v>51</v>
      </c>
      <c r="G9" s="14">
        <v>95</v>
      </c>
      <c r="H9" s="15">
        <f>SUM(D9:G9)</f>
        <v>272</v>
      </c>
      <c r="I9" s="14">
        <v>70</v>
      </c>
      <c r="J9" s="14">
        <v>80</v>
      </c>
      <c r="K9" s="14">
        <v>80</v>
      </c>
      <c r="L9" s="14">
        <v>80</v>
      </c>
      <c r="M9" s="15">
        <f>SUM(I9:L9)</f>
        <v>310</v>
      </c>
      <c r="N9" s="14">
        <v>90</v>
      </c>
      <c r="O9" s="14">
        <v>75</v>
      </c>
      <c r="P9" s="14">
        <v>86</v>
      </c>
      <c r="Q9" s="14">
        <v>80</v>
      </c>
      <c r="R9" s="15">
        <f>SUM(N9:Q9)</f>
        <v>331</v>
      </c>
      <c r="S9" s="16">
        <v>85</v>
      </c>
      <c r="T9" s="16">
        <v>80</v>
      </c>
      <c r="U9" s="16">
        <v>90</v>
      </c>
      <c r="V9" s="16">
        <v>80</v>
      </c>
      <c r="W9" s="15">
        <f>SUM(S9:V9)</f>
        <v>335</v>
      </c>
      <c r="X9" s="14">
        <v>80</v>
      </c>
      <c r="Y9" s="14">
        <v>80</v>
      </c>
      <c r="Z9" s="14">
        <v>72</v>
      </c>
      <c r="AA9" s="14">
        <v>90</v>
      </c>
      <c r="AB9" s="15">
        <f>SUM(X9:AA9)</f>
        <v>322</v>
      </c>
      <c r="AC9" s="14">
        <v>65</v>
      </c>
      <c r="AD9" s="14">
        <v>75</v>
      </c>
      <c r="AE9" s="14">
        <v>70</v>
      </c>
      <c r="AF9" s="14">
        <v>90</v>
      </c>
      <c r="AG9" s="15">
        <f>SUM(AC9:AF9)</f>
        <v>300</v>
      </c>
      <c r="AH9" s="14">
        <v>75</v>
      </c>
      <c r="AI9" s="14">
        <v>75</v>
      </c>
      <c r="AJ9" s="14">
        <v>85</v>
      </c>
      <c r="AK9" s="14">
        <v>75</v>
      </c>
      <c r="AL9" s="15">
        <f>SUM(AH9:AK9)</f>
        <v>310</v>
      </c>
      <c r="AM9" s="17">
        <f>+D9+I9+N9+S9+X9+AC9+AH9</f>
        <v>535</v>
      </c>
      <c r="AN9" s="17">
        <f>+E9+J9+O9+T9+Y9+AD9+AI9</f>
        <v>521</v>
      </c>
      <c r="AO9" s="17">
        <f>+F9+K9+P9+U9+Z9+AE9+AJ9</f>
        <v>534</v>
      </c>
      <c r="AP9" s="17">
        <f>+G9+L9+Q9+V9+AA9+AF9+AK9</f>
        <v>590</v>
      </c>
      <c r="AQ9" s="15">
        <f>SUM(AM9:AP9)</f>
        <v>2180</v>
      </c>
      <c r="AR9" s="14">
        <f>+AM9/AX9</f>
        <v>76.428571428571431</v>
      </c>
      <c r="AS9" s="14">
        <f>+AN9/AX9</f>
        <v>74.428571428571431</v>
      </c>
      <c r="AT9" s="14">
        <f>+AO9/AX9</f>
        <v>76.285714285714292</v>
      </c>
      <c r="AU9" s="14">
        <f>+AP9/AX9</f>
        <v>84.285714285714292</v>
      </c>
      <c r="AV9" s="18">
        <f>SUM(AR9:AU9)</f>
        <v>311.42857142857144</v>
      </c>
      <c r="AW9" s="19">
        <f>COUNTIF(D9:AL9,0)/5</f>
        <v>0</v>
      </c>
      <c r="AX9" s="12">
        <f>+BA9</f>
        <v>7</v>
      </c>
      <c r="AY9" s="20">
        <f>COUNTIF(D9:AL9,"&gt;0")</f>
        <v>35</v>
      </c>
      <c r="AZ9" s="2">
        <f>+AY9/5</f>
        <v>7</v>
      </c>
      <c r="BA9" s="2">
        <f>ROUND((AZ9),0)</f>
        <v>7</v>
      </c>
    </row>
    <row r="10" spans="1:53" x14ac:dyDescent="0.3">
      <c r="A10" s="12">
        <f t="shared" si="0"/>
        <v>5</v>
      </c>
      <c r="B10" s="12">
        <v>24072005</v>
      </c>
      <c r="C10" s="13" t="s">
        <v>26</v>
      </c>
      <c r="D10" s="14">
        <v>58</v>
      </c>
      <c r="E10" s="14">
        <v>38</v>
      </c>
      <c r="F10" s="14">
        <v>-7</v>
      </c>
      <c r="G10" s="14">
        <v>38</v>
      </c>
      <c r="H10" s="15">
        <f>SUM(D10:G10)</f>
        <v>127</v>
      </c>
      <c r="I10" s="14">
        <v>42</v>
      </c>
      <c r="J10" s="14">
        <v>75</v>
      </c>
      <c r="K10" s="14">
        <v>40</v>
      </c>
      <c r="L10" s="14">
        <v>60</v>
      </c>
      <c r="M10" s="15">
        <f>SUM(I10:L10)</f>
        <v>217</v>
      </c>
      <c r="N10" s="14">
        <v>67</v>
      </c>
      <c r="O10" s="14">
        <v>65</v>
      </c>
      <c r="P10" s="14">
        <v>67</v>
      </c>
      <c r="Q10" s="14">
        <v>45</v>
      </c>
      <c r="R10" s="15">
        <f>SUM(N10:Q10)</f>
        <v>244</v>
      </c>
      <c r="S10" s="16">
        <v>37</v>
      </c>
      <c r="T10" s="16">
        <v>30</v>
      </c>
      <c r="U10" s="16">
        <v>30</v>
      </c>
      <c r="V10" s="16">
        <v>40</v>
      </c>
      <c r="W10" s="15">
        <f>SUM(S10:V10)</f>
        <v>137</v>
      </c>
      <c r="X10" s="14">
        <v>50</v>
      </c>
      <c r="Y10" s="14">
        <v>30</v>
      </c>
      <c r="Z10" s="14">
        <v>31</v>
      </c>
      <c r="AA10" s="14">
        <v>40</v>
      </c>
      <c r="AB10" s="15">
        <f>SUM(X10:AA10)</f>
        <v>151</v>
      </c>
      <c r="AC10" s="14">
        <v>25</v>
      </c>
      <c r="AD10" s="14">
        <v>18</v>
      </c>
      <c r="AE10" s="14">
        <v>15</v>
      </c>
      <c r="AF10" s="14">
        <v>55</v>
      </c>
      <c r="AG10" s="15">
        <f>SUM(AC10:AF10)</f>
        <v>113</v>
      </c>
      <c r="AH10" s="14">
        <v>40</v>
      </c>
      <c r="AI10" s="14">
        <v>51</v>
      </c>
      <c r="AJ10" s="14">
        <v>40</v>
      </c>
      <c r="AK10" s="14">
        <v>30</v>
      </c>
      <c r="AL10" s="15">
        <f>SUM(AH10:AK10)</f>
        <v>161</v>
      </c>
      <c r="AM10" s="17">
        <f>+D10+I10+N10+S10+X10+AC10+AH10</f>
        <v>319</v>
      </c>
      <c r="AN10" s="17">
        <f>+E10+J10+O10+T10+Y10+AD10+AI10</f>
        <v>307</v>
      </c>
      <c r="AO10" s="17">
        <f>+F10+K10+P10+U10+Z10+AE10+AJ10</f>
        <v>216</v>
      </c>
      <c r="AP10" s="17">
        <f>+G10+L10+Q10+V10+AA10+AF10+AK10</f>
        <v>308</v>
      </c>
      <c r="AQ10" s="15">
        <f>SUM(AM10:AP10)</f>
        <v>1150</v>
      </c>
      <c r="AR10" s="14">
        <f>+AM10/AX10</f>
        <v>45.571428571428569</v>
      </c>
      <c r="AS10" s="14">
        <f>+AN10/AX10</f>
        <v>43.857142857142854</v>
      </c>
      <c r="AT10" s="14">
        <f>+AO10/AX10</f>
        <v>30.857142857142858</v>
      </c>
      <c r="AU10" s="14">
        <f>+AP10/AX10</f>
        <v>44</v>
      </c>
      <c r="AV10" s="18">
        <f>SUM(AR10:AU10)</f>
        <v>164.28571428571428</v>
      </c>
      <c r="AW10" s="19">
        <f>COUNTIF(D10:AL10,0)/5</f>
        <v>0</v>
      </c>
      <c r="AX10" s="12">
        <f>+BA10</f>
        <v>7</v>
      </c>
      <c r="AY10" s="20">
        <f>COUNTIF(D10:AL10,"&gt;0")</f>
        <v>34</v>
      </c>
      <c r="AZ10" s="2">
        <f>+AY10/5</f>
        <v>6.8</v>
      </c>
      <c r="BA10" s="2">
        <f>ROUND((AZ10),0)</f>
        <v>7</v>
      </c>
    </row>
    <row r="11" spans="1:53" x14ac:dyDescent="0.3">
      <c r="A11" s="12">
        <f t="shared" si="0"/>
        <v>6</v>
      </c>
      <c r="B11" s="12">
        <v>24072006</v>
      </c>
      <c r="C11" s="13" t="s">
        <v>27</v>
      </c>
      <c r="D11" s="14">
        <v>80</v>
      </c>
      <c r="E11" s="14">
        <v>75</v>
      </c>
      <c r="F11" s="14">
        <v>75</v>
      </c>
      <c r="G11" s="14">
        <v>95</v>
      </c>
      <c r="H11" s="15">
        <f>SUM(D11:G11)</f>
        <v>325</v>
      </c>
      <c r="I11" s="14">
        <v>76</v>
      </c>
      <c r="J11" s="14">
        <v>85</v>
      </c>
      <c r="K11" s="14">
        <v>85</v>
      </c>
      <c r="L11" s="14">
        <v>95</v>
      </c>
      <c r="M11" s="15">
        <f>SUM(I11:L11)</f>
        <v>341</v>
      </c>
      <c r="N11" s="14">
        <v>91</v>
      </c>
      <c r="O11" s="14">
        <v>95</v>
      </c>
      <c r="P11" s="14">
        <v>91</v>
      </c>
      <c r="Q11" s="14">
        <v>95</v>
      </c>
      <c r="R11" s="15">
        <f>SUM(N11:Q11)</f>
        <v>372</v>
      </c>
      <c r="S11" s="16">
        <v>77</v>
      </c>
      <c r="T11" s="16">
        <v>96</v>
      </c>
      <c r="U11" s="16">
        <v>82</v>
      </c>
      <c r="V11" s="16">
        <v>75</v>
      </c>
      <c r="W11" s="15">
        <f>SUM(S11:V11)</f>
        <v>330</v>
      </c>
      <c r="X11" s="14">
        <v>82</v>
      </c>
      <c r="Y11" s="14">
        <v>75</v>
      </c>
      <c r="Z11" s="14">
        <v>81</v>
      </c>
      <c r="AA11" s="14">
        <v>95</v>
      </c>
      <c r="AB11" s="15">
        <f>SUM(X11:AA11)</f>
        <v>333</v>
      </c>
      <c r="AC11" s="14">
        <v>72</v>
      </c>
      <c r="AD11" s="14">
        <v>86</v>
      </c>
      <c r="AE11" s="14">
        <v>68</v>
      </c>
      <c r="AF11" s="14">
        <v>100</v>
      </c>
      <c r="AG11" s="15">
        <f>SUM(AC11:AF11)</f>
        <v>326</v>
      </c>
      <c r="AH11" s="14">
        <v>76</v>
      </c>
      <c r="AI11" s="14">
        <v>85</v>
      </c>
      <c r="AJ11" s="14">
        <v>66</v>
      </c>
      <c r="AK11" s="14">
        <v>75</v>
      </c>
      <c r="AL11" s="15">
        <f>SUM(AH11:AK11)</f>
        <v>302</v>
      </c>
      <c r="AM11" s="17">
        <f>+D11+I11+N11+S11+X11+AC11+AH11</f>
        <v>554</v>
      </c>
      <c r="AN11" s="17">
        <f>+E11+J11+O11+T11+Y11+AD11+AI11</f>
        <v>597</v>
      </c>
      <c r="AO11" s="17">
        <f>+F11+K11+P11+U11+Z11+AE11+AJ11</f>
        <v>548</v>
      </c>
      <c r="AP11" s="17">
        <f>+G11+L11+Q11+V11+AA11+AF11+AK11</f>
        <v>630</v>
      </c>
      <c r="AQ11" s="15">
        <f>SUM(AM11:AP11)</f>
        <v>2329</v>
      </c>
      <c r="AR11" s="14">
        <f>+AM11/AX11</f>
        <v>79.142857142857139</v>
      </c>
      <c r="AS11" s="14">
        <f>+AN11/AX11</f>
        <v>85.285714285714292</v>
      </c>
      <c r="AT11" s="14">
        <f>+AO11/AX11</f>
        <v>78.285714285714292</v>
      </c>
      <c r="AU11" s="14">
        <f>+AP11/AX11</f>
        <v>90</v>
      </c>
      <c r="AV11" s="18">
        <f>SUM(AR11:AU11)</f>
        <v>332.71428571428572</v>
      </c>
      <c r="AW11" s="19">
        <f>COUNTIF(D11:AL11,0)/5</f>
        <v>0</v>
      </c>
      <c r="AX11" s="12">
        <f>+BA11</f>
        <v>7</v>
      </c>
      <c r="AY11" s="20">
        <f>COUNTIF(D11:AL11,"&gt;0")</f>
        <v>35</v>
      </c>
      <c r="AZ11" s="2">
        <f>+AY11/5</f>
        <v>7</v>
      </c>
      <c r="BA11" s="2">
        <f>ROUND((AZ11),0)</f>
        <v>7</v>
      </c>
    </row>
    <row r="12" spans="1:53" x14ac:dyDescent="0.3">
      <c r="A12" s="12">
        <f t="shared" si="0"/>
        <v>7</v>
      </c>
      <c r="B12" s="12">
        <v>24072008</v>
      </c>
      <c r="C12" s="13" t="s">
        <v>28</v>
      </c>
      <c r="D12" s="14">
        <v>90</v>
      </c>
      <c r="E12" s="14">
        <v>81</v>
      </c>
      <c r="F12" s="14">
        <v>75</v>
      </c>
      <c r="G12" s="14">
        <v>90</v>
      </c>
      <c r="H12" s="15">
        <f>SUM(D12:G12)</f>
        <v>336</v>
      </c>
      <c r="I12" s="14">
        <v>91</v>
      </c>
      <c r="J12" s="14">
        <v>90</v>
      </c>
      <c r="K12" s="14">
        <v>95</v>
      </c>
      <c r="L12" s="14">
        <v>96</v>
      </c>
      <c r="M12" s="15">
        <f>SUM(I12:L12)</f>
        <v>372</v>
      </c>
      <c r="N12" s="14">
        <v>90</v>
      </c>
      <c r="O12" s="14">
        <v>81</v>
      </c>
      <c r="P12" s="14">
        <v>95</v>
      </c>
      <c r="Q12" s="14">
        <v>91</v>
      </c>
      <c r="R12" s="15">
        <f>SUM(N12:Q12)</f>
        <v>357</v>
      </c>
      <c r="S12" s="16">
        <v>91</v>
      </c>
      <c r="T12" s="16">
        <v>80</v>
      </c>
      <c r="U12" s="16">
        <v>100</v>
      </c>
      <c r="V12" s="16">
        <v>75</v>
      </c>
      <c r="W12" s="15">
        <f>SUM(S12:V12)</f>
        <v>346</v>
      </c>
      <c r="X12" s="14">
        <v>80</v>
      </c>
      <c r="Y12" s="14">
        <v>100</v>
      </c>
      <c r="Z12" s="14">
        <v>100</v>
      </c>
      <c r="AA12" s="14">
        <v>100</v>
      </c>
      <c r="AB12" s="15">
        <f>SUM(X12:AA12)</f>
        <v>380</v>
      </c>
      <c r="AC12" s="14">
        <v>80</v>
      </c>
      <c r="AD12" s="14">
        <v>95</v>
      </c>
      <c r="AE12" s="14">
        <v>95</v>
      </c>
      <c r="AF12" s="14">
        <v>100</v>
      </c>
      <c r="AG12" s="15">
        <f>SUM(AC12:AF12)</f>
        <v>370</v>
      </c>
      <c r="AH12" s="14">
        <v>86</v>
      </c>
      <c r="AI12" s="14">
        <v>80</v>
      </c>
      <c r="AJ12" s="14">
        <v>80</v>
      </c>
      <c r="AK12" s="14">
        <v>90</v>
      </c>
      <c r="AL12" s="15">
        <f>SUM(AH12:AK12)</f>
        <v>336</v>
      </c>
      <c r="AM12" s="17">
        <f>+D12+I12+N12+S12+X12+AC12+AH12</f>
        <v>608</v>
      </c>
      <c r="AN12" s="17">
        <f>+E12+J12+O12+T12+Y12+AD12+AI12</f>
        <v>607</v>
      </c>
      <c r="AO12" s="17">
        <f>+F12+K12+P12+U12+Z12+AE12+AJ12</f>
        <v>640</v>
      </c>
      <c r="AP12" s="17">
        <f>+G12+L12+Q12+V12+AA12+AF12+AK12</f>
        <v>642</v>
      </c>
      <c r="AQ12" s="15">
        <f>SUM(AM12:AP12)</f>
        <v>2497</v>
      </c>
      <c r="AR12" s="14">
        <f>+AM12/AX12</f>
        <v>86.857142857142861</v>
      </c>
      <c r="AS12" s="14">
        <f>+AN12/AX12</f>
        <v>86.714285714285708</v>
      </c>
      <c r="AT12" s="14">
        <f>+AO12/AX12</f>
        <v>91.428571428571431</v>
      </c>
      <c r="AU12" s="14">
        <f>+AP12/AX12</f>
        <v>91.714285714285708</v>
      </c>
      <c r="AV12" s="18">
        <f>SUM(AR12:AU12)</f>
        <v>356.71428571428572</v>
      </c>
      <c r="AW12" s="19">
        <f>COUNTIF(D12:AL12,0)/5</f>
        <v>0</v>
      </c>
      <c r="AX12" s="12">
        <f>+BA12</f>
        <v>7</v>
      </c>
      <c r="AY12" s="20">
        <f>COUNTIF(D12:AL12,"&gt;0")</f>
        <v>35</v>
      </c>
      <c r="AZ12" s="2">
        <f>+AY12/5</f>
        <v>7</v>
      </c>
      <c r="BA12" s="2">
        <f>ROUND((AZ12),0)</f>
        <v>7</v>
      </c>
    </row>
    <row r="13" spans="1:53" x14ac:dyDescent="0.3">
      <c r="A13" s="12">
        <f t="shared" si="0"/>
        <v>8</v>
      </c>
      <c r="B13" s="12">
        <v>24072009</v>
      </c>
      <c r="C13" s="13" t="s">
        <v>29</v>
      </c>
      <c r="D13" s="14">
        <v>90</v>
      </c>
      <c r="E13" s="14">
        <v>54</v>
      </c>
      <c r="F13" s="14">
        <v>61</v>
      </c>
      <c r="G13" s="14">
        <v>71</v>
      </c>
      <c r="H13" s="15">
        <f>SUM(D13:G13)</f>
        <v>276</v>
      </c>
      <c r="I13" s="14">
        <v>54</v>
      </c>
      <c r="J13" s="14">
        <v>72</v>
      </c>
      <c r="K13" s="14">
        <v>69</v>
      </c>
      <c r="L13" s="14">
        <v>91</v>
      </c>
      <c r="M13" s="15">
        <f>SUM(I13:L13)</f>
        <v>286</v>
      </c>
      <c r="N13" s="14">
        <v>71</v>
      </c>
      <c r="O13" s="14">
        <v>76</v>
      </c>
      <c r="P13" s="14">
        <v>55</v>
      </c>
      <c r="Q13" s="14">
        <v>61</v>
      </c>
      <c r="R13" s="15">
        <f>SUM(N13:Q13)</f>
        <v>263</v>
      </c>
      <c r="S13" s="16">
        <v>76</v>
      </c>
      <c r="T13" s="16">
        <v>65</v>
      </c>
      <c r="U13" s="16">
        <v>51</v>
      </c>
      <c r="V13" s="16">
        <v>85</v>
      </c>
      <c r="W13" s="15">
        <f>SUM(S13:V13)</f>
        <v>277</v>
      </c>
      <c r="X13" s="14">
        <v>77</v>
      </c>
      <c r="Y13" s="14">
        <v>72</v>
      </c>
      <c r="Z13" s="14">
        <v>50</v>
      </c>
      <c r="AA13" s="14">
        <v>76</v>
      </c>
      <c r="AB13" s="15">
        <f>SUM(X13:AA13)</f>
        <v>275</v>
      </c>
      <c r="AC13" s="14">
        <v>72</v>
      </c>
      <c r="AD13" s="14">
        <v>90</v>
      </c>
      <c r="AE13" s="14">
        <v>65</v>
      </c>
      <c r="AF13" s="14">
        <v>90</v>
      </c>
      <c r="AG13" s="15">
        <f>SUM(AC13:AF13)</f>
        <v>317</v>
      </c>
      <c r="AH13" s="14">
        <v>75</v>
      </c>
      <c r="AI13" s="14">
        <v>61</v>
      </c>
      <c r="AJ13" s="14">
        <v>80</v>
      </c>
      <c r="AK13" s="14">
        <v>85</v>
      </c>
      <c r="AL13" s="15">
        <f>SUM(AH13:AK13)</f>
        <v>301</v>
      </c>
      <c r="AM13" s="17">
        <f>+D13+I13+N13+S13+X13+AC13+AH13</f>
        <v>515</v>
      </c>
      <c r="AN13" s="17">
        <f>+E13+J13+O13+T13+Y13+AD13+AI13</f>
        <v>490</v>
      </c>
      <c r="AO13" s="17">
        <f>+F13+K13+P13+U13+Z13+AE13+AJ13</f>
        <v>431</v>
      </c>
      <c r="AP13" s="17">
        <f>+G13+L13+Q13+V13+AA13+AF13+AK13</f>
        <v>559</v>
      </c>
      <c r="AQ13" s="15">
        <f>SUM(AM13:AP13)</f>
        <v>1995</v>
      </c>
      <c r="AR13" s="14">
        <f>+AM13/AX13</f>
        <v>73.571428571428569</v>
      </c>
      <c r="AS13" s="14">
        <f>+AN13/AX13</f>
        <v>70</v>
      </c>
      <c r="AT13" s="14">
        <f>+AO13/AX13</f>
        <v>61.571428571428569</v>
      </c>
      <c r="AU13" s="14">
        <f>+AP13/AX13</f>
        <v>79.857142857142861</v>
      </c>
      <c r="AV13" s="18">
        <f>SUM(AR13:AU13)</f>
        <v>285</v>
      </c>
      <c r="AW13" s="19">
        <f>COUNTIF(D13:AL13,0)/5</f>
        <v>0</v>
      </c>
      <c r="AX13" s="12">
        <f>+BA13</f>
        <v>7</v>
      </c>
      <c r="AY13" s="20">
        <f>COUNTIF(D13:AL13,"&gt;0")</f>
        <v>35</v>
      </c>
      <c r="AZ13" s="2">
        <f>+AY13/5</f>
        <v>7</v>
      </c>
      <c r="BA13" s="2">
        <f>ROUND((AZ13),0)</f>
        <v>7</v>
      </c>
    </row>
    <row r="14" spans="1:53" x14ac:dyDescent="0.3">
      <c r="A14" s="12">
        <f t="shared" si="0"/>
        <v>9</v>
      </c>
      <c r="B14" s="12">
        <v>24072010</v>
      </c>
      <c r="C14" s="13" t="s">
        <v>30</v>
      </c>
      <c r="D14" s="14">
        <v>81</v>
      </c>
      <c r="E14" s="14">
        <v>30</v>
      </c>
      <c r="F14" s="14">
        <v>16</v>
      </c>
      <c r="G14" s="14">
        <v>75</v>
      </c>
      <c r="H14" s="15">
        <f>SUM(D14:G14)</f>
        <v>202</v>
      </c>
      <c r="I14" s="14">
        <v>50</v>
      </c>
      <c r="J14" s="14">
        <v>50</v>
      </c>
      <c r="K14" s="14">
        <v>70</v>
      </c>
      <c r="L14" s="14">
        <v>65</v>
      </c>
      <c r="M14" s="15">
        <f>SUM(I14:L14)</f>
        <v>235</v>
      </c>
      <c r="N14" s="14">
        <v>85</v>
      </c>
      <c r="O14" s="14">
        <v>30</v>
      </c>
      <c r="P14" s="14">
        <v>30</v>
      </c>
      <c r="Q14" s="14">
        <v>70</v>
      </c>
      <c r="R14" s="15">
        <f>SUM(N14:Q14)</f>
        <v>215</v>
      </c>
      <c r="S14" s="16">
        <v>90</v>
      </c>
      <c r="T14" s="16">
        <v>40</v>
      </c>
      <c r="U14" s="16">
        <v>41</v>
      </c>
      <c r="V14" s="16">
        <v>65</v>
      </c>
      <c r="W14" s="15">
        <f>SUM(S14:V14)</f>
        <v>236</v>
      </c>
      <c r="X14" s="14">
        <v>65</v>
      </c>
      <c r="Y14" s="14">
        <v>45</v>
      </c>
      <c r="Z14" s="14">
        <v>0</v>
      </c>
      <c r="AA14" s="14">
        <v>75</v>
      </c>
      <c r="AB14" s="15">
        <f>SUM(X14:AA14)</f>
        <v>185</v>
      </c>
      <c r="AC14" s="14">
        <v>15</v>
      </c>
      <c r="AD14" s="14">
        <v>48</v>
      </c>
      <c r="AE14" s="14">
        <v>45</v>
      </c>
      <c r="AF14" s="14">
        <v>85</v>
      </c>
      <c r="AG14" s="15">
        <f>SUM(AC14:AF14)</f>
        <v>193</v>
      </c>
      <c r="AH14" s="14">
        <v>66</v>
      </c>
      <c r="AI14" s="14">
        <v>65</v>
      </c>
      <c r="AJ14" s="14">
        <v>65</v>
      </c>
      <c r="AK14" s="14">
        <v>56</v>
      </c>
      <c r="AL14" s="15">
        <f>SUM(AH14:AK14)</f>
        <v>252</v>
      </c>
      <c r="AM14" s="17">
        <f>+D14+I14+N14+S14+X14+AC14+AH14</f>
        <v>452</v>
      </c>
      <c r="AN14" s="17">
        <f>+E14+J14+O14+T14+Y14+AD14+AI14</f>
        <v>308</v>
      </c>
      <c r="AO14" s="17">
        <f>+F14+K14+P14+U14+Z14+AE14+AJ14</f>
        <v>267</v>
      </c>
      <c r="AP14" s="17">
        <f>+G14+L14+Q14+V14+AA14+AF14+AK14</f>
        <v>491</v>
      </c>
      <c r="AQ14" s="15">
        <f>SUM(AM14:AP14)</f>
        <v>1518</v>
      </c>
      <c r="AR14" s="14">
        <f>+AM14/AX14</f>
        <v>64.571428571428569</v>
      </c>
      <c r="AS14" s="14">
        <f>+AN14/AX14</f>
        <v>44</v>
      </c>
      <c r="AT14" s="14">
        <f>+AO14/AX14</f>
        <v>38.142857142857146</v>
      </c>
      <c r="AU14" s="14">
        <f>+AP14/AX14</f>
        <v>70.142857142857139</v>
      </c>
      <c r="AV14" s="18">
        <f>SUM(AR14:AU14)</f>
        <v>216.85714285714286</v>
      </c>
      <c r="AW14" s="19">
        <f>COUNTIF(D14:AL14,0)/5</f>
        <v>0.2</v>
      </c>
      <c r="AX14" s="12">
        <f>+BA14</f>
        <v>7</v>
      </c>
      <c r="AY14" s="20">
        <f>COUNTIF(D14:AL14,"&gt;0")</f>
        <v>34</v>
      </c>
      <c r="AZ14" s="2">
        <f>+AY14/5</f>
        <v>6.8</v>
      </c>
      <c r="BA14" s="2">
        <f>ROUND((AZ14),0)</f>
        <v>7</v>
      </c>
    </row>
    <row r="15" spans="1:53" x14ac:dyDescent="0.3">
      <c r="A15" s="12">
        <f t="shared" si="0"/>
        <v>10</v>
      </c>
      <c r="B15" s="12">
        <v>24072011</v>
      </c>
      <c r="C15" s="13" t="s">
        <v>31</v>
      </c>
      <c r="D15" s="14">
        <v>76</v>
      </c>
      <c r="E15" s="14">
        <v>55</v>
      </c>
      <c r="F15" s="14">
        <v>66</v>
      </c>
      <c r="G15" s="14">
        <v>70</v>
      </c>
      <c r="H15" s="15">
        <f>SUM(D15:G15)</f>
        <v>267</v>
      </c>
      <c r="I15" s="14">
        <v>46</v>
      </c>
      <c r="J15" s="14">
        <v>65</v>
      </c>
      <c r="K15" s="14">
        <v>70</v>
      </c>
      <c r="L15" s="14">
        <v>85</v>
      </c>
      <c r="M15" s="15">
        <f>SUM(I15:L15)</f>
        <v>266</v>
      </c>
      <c r="N15" s="14">
        <v>80</v>
      </c>
      <c r="O15" s="14">
        <v>27</v>
      </c>
      <c r="P15" s="14">
        <v>65</v>
      </c>
      <c r="Q15" s="14">
        <v>60</v>
      </c>
      <c r="R15" s="15">
        <f>SUM(N15:Q15)</f>
        <v>232</v>
      </c>
      <c r="S15" s="16">
        <v>80</v>
      </c>
      <c r="T15" s="16">
        <v>50</v>
      </c>
      <c r="U15" s="16">
        <v>70</v>
      </c>
      <c r="V15" s="16">
        <v>60</v>
      </c>
      <c r="W15" s="15">
        <f>SUM(S15:V15)</f>
        <v>260</v>
      </c>
      <c r="X15" s="14">
        <v>66</v>
      </c>
      <c r="Y15" s="14">
        <v>75</v>
      </c>
      <c r="Z15" s="14">
        <v>45</v>
      </c>
      <c r="AA15" s="14">
        <v>85</v>
      </c>
      <c r="AB15" s="15">
        <f>SUM(X15:AA15)</f>
        <v>271</v>
      </c>
      <c r="AC15" s="14">
        <v>45</v>
      </c>
      <c r="AD15" s="14">
        <v>55</v>
      </c>
      <c r="AE15" s="14">
        <v>60</v>
      </c>
      <c r="AF15" s="14">
        <v>75</v>
      </c>
      <c r="AG15" s="15">
        <f>SUM(AC15:AF15)</f>
        <v>235</v>
      </c>
      <c r="AH15" s="14">
        <v>60</v>
      </c>
      <c r="AI15" s="14">
        <v>60</v>
      </c>
      <c r="AJ15" s="14">
        <v>85</v>
      </c>
      <c r="AK15" s="14">
        <v>65</v>
      </c>
      <c r="AL15" s="15">
        <f>SUM(AH15:AK15)</f>
        <v>270</v>
      </c>
      <c r="AM15" s="17">
        <f>+D15+I15+N15+S15+X15+AC15+AH15</f>
        <v>453</v>
      </c>
      <c r="AN15" s="17">
        <f>+E15+J15+O15+T15+Y15+AD15+AI15</f>
        <v>387</v>
      </c>
      <c r="AO15" s="17">
        <f>+F15+K15+P15+U15+Z15+AE15+AJ15</f>
        <v>461</v>
      </c>
      <c r="AP15" s="17">
        <f>+G15+L15+Q15+V15+AA15+AF15+AK15</f>
        <v>500</v>
      </c>
      <c r="AQ15" s="15">
        <f>SUM(AM15:AP15)</f>
        <v>1801</v>
      </c>
      <c r="AR15" s="14">
        <f>+AM15/AX15</f>
        <v>64.714285714285708</v>
      </c>
      <c r="AS15" s="14">
        <f>+AN15/AX15</f>
        <v>55.285714285714285</v>
      </c>
      <c r="AT15" s="14">
        <f>+AO15/AX15</f>
        <v>65.857142857142861</v>
      </c>
      <c r="AU15" s="14">
        <f>+AP15/AX15</f>
        <v>71.428571428571431</v>
      </c>
      <c r="AV15" s="18">
        <f>SUM(AR15:AU15)</f>
        <v>257.28571428571428</v>
      </c>
      <c r="AW15" s="19">
        <f>COUNTIF(D15:AL15,0)/5</f>
        <v>0</v>
      </c>
      <c r="AX15" s="12">
        <f>+BA15</f>
        <v>7</v>
      </c>
      <c r="AY15" s="20">
        <f>COUNTIF(D15:AL15,"&gt;0")</f>
        <v>35</v>
      </c>
      <c r="AZ15" s="2">
        <f>+AY15/5</f>
        <v>7</v>
      </c>
      <c r="BA15" s="2">
        <f>ROUND((AZ15),0)</f>
        <v>7</v>
      </c>
    </row>
    <row r="16" spans="1:53" x14ac:dyDescent="0.3">
      <c r="A16" s="12">
        <f t="shared" si="0"/>
        <v>11</v>
      </c>
      <c r="B16" s="12">
        <v>24072012</v>
      </c>
      <c r="C16" s="13" t="s">
        <v>32</v>
      </c>
      <c r="D16" s="14">
        <v>75</v>
      </c>
      <c r="E16" s="14">
        <v>80</v>
      </c>
      <c r="F16" s="14">
        <v>80</v>
      </c>
      <c r="G16" s="14">
        <v>90</v>
      </c>
      <c r="H16" s="15">
        <f>SUM(D16:G16)</f>
        <v>325</v>
      </c>
      <c r="I16" s="14">
        <v>80</v>
      </c>
      <c r="J16" s="14">
        <v>90</v>
      </c>
      <c r="K16" s="14">
        <v>81</v>
      </c>
      <c r="L16" s="14">
        <v>95</v>
      </c>
      <c r="M16" s="15">
        <f>SUM(I16:L16)</f>
        <v>346</v>
      </c>
      <c r="N16" s="14">
        <v>90</v>
      </c>
      <c r="O16" s="14">
        <v>75</v>
      </c>
      <c r="P16" s="14">
        <v>95</v>
      </c>
      <c r="Q16" s="14">
        <v>66</v>
      </c>
      <c r="R16" s="15">
        <f>SUM(N16:Q16)</f>
        <v>326</v>
      </c>
      <c r="S16" s="16">
        <v>90</v>
      </c>
      <c r="T16" s="16">
        <v>65</v>
      </c>
      <c r="U16" s="16">
        <v>80</v>
      </c>
      <c r="V16" s="16">
        <v>75</v>
      </c>
      <c r="W16" s="15">
        <f>SUM(S16:V16)</f>
        <v>310</v>
      </c>
      <c r="X16" s="14">
        <v>71</v>
      </c>
      <c r="Y16" s="14">
        <v>90</v>
      </c>
      <c r="Z16" s="14">
        <v>90</v>
      </c>
      <c r="AA16" s="14">
        <v>90</v>
      </c>
      <c r="AB16" s="15">
        <f>SUM(X16:AA16)</f>
        <v>341</v>
      </c>
      <c r="AC16" s="14">
        <v>71</v>
      </c>
      <c r="AD16" s="14">
        <v>85</v>
      </c>
      <c r="AE16" s="14">
        <v>75</v>
      </c>
      <c r="AF16" s="14">
        <v>80</v>
      </c>
      <c r="AG16" s="15">
        <f>SUM(AC16:AF16)</f>
        <v>311</v>
      </c>
      <c r="AH16" s="14">
        <v>80</v>
      </c>
      <c r="AI16" s="14">
        <v>65</v>
      </c>
      <c r="AJ16" s="14">
        <v>90</v>
      </c>
      <c r="AK16" s="14">
        <v>85</v>
      </c>
      <c r="AL16" s="15">
        <f>SUM(AH16:AK16)</f>
        <v>320</v>
      </c>
      <c r="AM16" s="17">
        <f>+D16+I16+N16+S16+X16+AC16+AH16</f>
        <v>557</v>
      </c>
      <c r="AN16" s="17">
        <f>+E16+J16+O16+T16+Y16+AD16+AI16</f>
        <v>550</v>
      </c>
      <c r="AO16" s="17">
        <f>+F16+K16+P16+U16+Z16+AE16+AJ16</f>
        <v>591</v>
      </c>
      <c r="AP16" s="17">
        <f>+G16+L16+Q16+V16+AA16+AF16+AK16</f>
        <v>581</v>
      </c>
      <c r="AQ16" s="15">
        <f>SUM(AM16:AP16)</f>
        <v>2279</v>
      </c>
      <c r="AR16" s="14">
        <f>+AM16/AX16</f>
        <v>79.571428571428569</v>
      </c>
      <c r="AS16" s="14">
        <f>+AN16/AX16</f>
        <v>78.571428571428569</v>
      </c>
      <c r="AT16" s="14">
        <f>+AO16/AX16</f>
        <v>84.428571428571431</v>
      </c>
      <c r="AU16" s="14">
        <f>+AP16/AX16</f>
        <v>83</v>
      </c>
      <c r="AV16" s="18">
        <f>SUM(AR16:AU16)</f>
        <v>325.57142857142856</v>
      </c>
      <c r="AW16" s="19">
        <f>COUNTIF(D16:AL16,0)/5</f>
        <v>0</v>
      </c>
      <c r="AX16" s="12">
        <f>+BA16</f>
        <v>7</v>
      </c>
      <c r="AY16" s="20">
        <f>COUNTIF(D16:AL16,"&gt;0")</f>
        <v>35</v>
      </c>
      <c r="AZ16" s="2">
        <f>+AY16/5</f>
        <v>7</v>
      </c>
      <c r="BA16" s="2">
        <f>ROUND((AZ16),0)</f>
        <v>7</v>
      </c>
    </row>
    <row r="17" spans="1:53" x14ac:dyDescent="0.3">
      <c r="A17" s="12">
        <f t="shared" si="0"/>
        <v>12</v>
      </c>
      <c r="B17" s="12">
        <v>24072013</v>
      </c>
      <c r="C17" s="13" t="s">
        <v>33</v>
      </c>
      <c r="D17" s="14">
        <v>90</v>
      </c>
      <c r="E17" s="14">
        <v>42</v>
      </c>
      <c r="F17" s="14">
        <v>51</v>
      </c>
      <c r="G17" s="14">
        <v>91</v>
      </c>
      <c r="H17" s="15">
        <f>SUM(D17:G17)</f>
        <v>274</v>
      </c>
      <c r="I17" s="14">
        <v>75</v>
      </c>
      <c r="J17" s="14">
        <v>85</v>
      </c>
      <c r="K17" s="14">
        <v>81</v>
      </c>
      <c r="L17" s="14">
        <v>90</v>
      </c>
      <c r="M17" s="15">
        <f>SUM(I17:L17)</f>
        <v>331</v>
      </c>
      <c r="N17" s="14">
        <v>85</v>
      </c>
      <c r="O17" s="14">
        <v>87</v>
      </c>
      <c r="P17" s="14">
        <v>86</v>
      </c>
      <c r="Q17" s="14">
        <v>77</v>
      </c>
      <c r="R17" s="15">
        <f>SUM(N17:Q17)</f>
        <v>335</v>
      </c>
      <c r="S17" s="16">
        <v>82</v>
      </c>
      <c r="T17" s="16">
        <v>85</v>
      </c>
      <c r="U17" s="16">
        <v>77</v>
      </c>
      <c r="V17" s="16">
        <v>75</v>
      </c>
      <c r="W17" s="15">
        <f>SUM(S17:V17)</f>
        <v>319</v>
      </c>
      <c r="X17" s="14">
        <v>88</v>
      </c>
      <c r="Y17" s="14">
        <v>87</v>
      </c>
      <c r="Z17" s="14">
        <v>90</v>
      </c>
      <c r="AA17" s="14">
        <v>85</v>
      </c>
      <c r="AB17" s="15">
        <f>SUM(X17:AA17)</f>
        <v>350</v>
      </c>
      <c r="AC17" s="14">
        <v>71</v>
      </c>
      <c r="AD17" s="14">
        <v>55</v>
      </c>
      <c r="AE17" s="14">
        <v>75</v>
      </c>
      <c r="AF17" s="14">
        <v>100</v>
      </c>
      <c r="AG17" s="15">
        <f>SUM(AC17:AF17)</f>
        <v>301</v>
      </c>
      <c r="AH17" s="14">
        <v>81</v>
      </c>
      <c r="AI17" s="14">
        <v>63</v>
      </c>
      <c r="AJ17" s="14">
        <v>77</v>
      </c>
      <c r="AK17" s="14">
        <v>56</v>
      </c>
      <c r="AL17" s="15">
        <f>SUM(AH17:AK17)</f>
        <v>277</v>
      </c>
      <c r="AM17" s="17">
        <f>+D17+I17+N17+S17+X17+AC17+AH17</f>
        <v>572</v>
      </c>
      <c r="AN17" s="17">
        <f>+E17+J17+O17+T17+Y17+AD17+AI17</f>
        <v>504</v>
      </c>
      <c r="AO17" s="17">
        <f>+F17+K17+P17+U17+Z17+AE17+AJ17</f>
        <v>537</v>
      </c>
      <c r="AP17" s="17">
        <f>+G17+L17+Q17+V17+AA17+AF17+AK17</f>
        <v>574</v>
      </c>
      <c r="AQ17" s="15">
        <f>SUM(AM17:AP17)</f>
        <v>2187</v>
      </c>
      <c r="AR17" s="14">
        <f>+AM17/AX17</f>
        <v>81.714285714285708</v>
      </c>
      <c r="AS17" s="14">
        <f>+AN17/AX17</f>
        <v>72</v>
      </c>
      <c r="AT17" s="14">
        <f>+AO17/AX17</f>
        <v>76.714285714285708</v>
      </c>
      <c r="AU17" s="14">
        <f>+AP17/AX17</f>
        <v>82</v>
      </c>
      <c r="AV17" s="18">
        <f>SUM(AR17:AU17)</f>
        <v>312.42857142857144</v>
      </c>
      <c r="AW17" s="19">
        <f>COUNTIF(D17:AL17,0)/5</f>
        <v>0</v>
      </c>
      <c r="AX17" s="12">
        <f>+BA17</f>
        <v>7</v>
      </c>
      <c r="AY17" s="20">
        <f>COUNTIF(D17:AL17,"&gt;0")</f>
        <v>35</v>
      </c>
      <c r="AZ17" s="2">
        <f>+AY17/5</f>
        <v>7</v>
      </c>
      <c r="BA17" s="2">
        <f>ROUND((AZ17),0)</f>
        <v>7</v>
      </c>
    </row>
    <row r="18" spans="1:53" x14ac:dyDescent="0.3">
      <c r="A18" s="12">
        <f t="shared" si="0"/>
        <v>13</v>
      </c>
      <c r="B18" s="12">
        <v>24072014</v>
      </c>
      <c r="C18" s="13" t="s">
        <v>34</v>
      </c>
      <c r="D18" s="14">
        <v>90</v>
      </c>
      <c r="E18" s="14">
        <v>65</v>
      </c>
      <c r="F18" s="14">
        <v>41</v>
      </c>
      <c r="G18" s="14">
        <v>96</v>
      </c>
      <c r="H18" s="15">
        <f>SUM(D18:G18)</f>
        <v>292</v>
      </c>
      <c r="I18" s="14">
        <v>65</v>
      </c>
      <c r="J18" s="14">
        <v>85</v>
      </c>
      <c r="K18" s="14">
        <v>48</v>
      </c>
      <c r="L18" s="14">
        <v>96</v>
      </c>
      <c r="M18" s="15">
        <f>SUM(I18:L18)</f>
        <v>294</v>
      </c>
      <c r="N18" s="14">
        <v>70</v>
      </c>
      <c r="O18" s="14">
        <v>50</v>
      </c>
      <c r="P18" s="14">
        <v>61</v>
      </c>
      <c r="Q18" s="14">
        <v>51</v>
      </c>
      <c r="R18" s="15">
        <f>SUM(N18:Q18)</f>
        <v>232</v>
      </c>
      <c r="S18" s="16">
        <v>61</v>
      </c>
      <c r="T18" s="16">
        <v>66</v>
      </c>
      <c r="U18" s="16">
        <v>70</v>
      </c>
      <c r="V18" s="16">
        <v>70</v>
      </c>
      <c r="W18" s="15">
        <f>SUM(S18:V18)</f>
        <v>267</v>
      </c>
      <c r="X18" s="14">
        <v>75</v>
      </c>
      <c r="Y18" s="14">
        <v>66</v>
      </c>
      <c r="Z18" s="14">
        <v>32</v>
      </c>
      <c r="AA18" s="14">
        <v>75</v>
      </c>
      <c r="AB18" s="15">
        <f>SUM(X18:AA18)</f>
        <v>248</v>
      </c>
      <c r="AC18" s="14">
        <v>60</v>
      </c>
      <c r="AD18" s="14">
        <v>50</v>
      </c>
      <c r="AE18" s="14">
        <v>70</v>
      </c>
      <c r="AF18" s="14">
        <v>75</v>
      </c>
      <c r="AG18" s="15">
        <f>SUM(AC18:AF18)</f>
        <v>255</v>
      </c>
      <c r="AH18" s="14">
        <v>40</v>
      </c>
      <c r="AI18" s="14">
        <v>55</v>
      </c>
      <c r="AJ18" s="14">
        <v>70</v>
      </c>
      <c r="AK18" s="14">
        <v>45</v>
      </c>
      <c r="AL18" s="15">
        <f>SUM(AH18:AK18)</f>
        <v>210</v>
      </c>
      <c r="AM18" s="17">
        <f>+D18+I18+N18+S18+X18+AC18+AH18</f>
        <v>461</v>
      </c>
      <c r="AN18" s="17">
        <f>+E18+J18+O18+T18+Y18+AD18+AI18</f>
        <v>437</v>
      </c>
      <c r="AO18" s="17">
        <f>+F18+K18+P18+U18+Z18+AE18+AJ18</f>
        <v>392</v>
      </c>
      <c r="AP18" s="17">
        <f>+G18+L18+Q18+V18+AA18+AF18+AK18</f>
        <v>508</v>
      </c>
      <c r="AQ18" s="15">
        <f>SUM(AM18:AP18)</f>
        <v>1798</v>
      </c>
      <c r="AR18" s="14">
        <f>+AM18/AX18</f>
        <v>65.857142857142861</v>
      </c>
      <c r="AS18" s="14">
        <f>+AN18/AX18</f>
        <v>62.428571428571431</v>
      </c>
      <c r="AT18" s="14">
        <f>+AO18/AX18</f>
        <v>56</v>
      </c>
      <c r="AU18" s="14">
        <f>+AP18/AX18</f>
        <v>72.571428571428569</v>
      </c>
      <c r="AV18" s="18">
        <f>SUM(AR18:AU18)</f>
        <v>256.85714285714283</v>
      </c>
      <c r="AW18" s="19">
        <f>COUNTIF(D18:AL18,0)/5</f>
        <v>0</v>
      </c>
      <c r="AX18" s="12">
        <f>+BA18</f>
        <v>7</v>
      </c>
      <c r="AY18" s="20">
        <f>COUNTIF(D18:AL18,"&gt;0")</f>
        <v>35</v>
      </c>
      <c r="AZ18" s="2">
        <f>+AY18/5</f>
        <v>7</v>
      </c>
      <c r="BA18" s="2">
        <f>ROUND((AZ18),0)</f>
        <v>7</v>
      </c>
    </row>
    <row r="19" spans="1:53" x14ac:dyDescent="0.3">
      <c r="A19" s="12">
        <f t="shared" si="0"/>
        <v>14</v>
      </c>
      <c r="B19" s="12">
        <v>24072015</v>
      </c>
      <c r="C19" s="13" t="s">
        <v>35</v>
      </c>
      <c r="D19" s="14">
        <v>70</v>
      </c>
      <c r="E19" s="14">
        <v>35</v>
      </c>
      <c r="F19" s="14">
        <v>30</v>
      </c>
      <c r="G19" s="14">
        <v>55</v>
      </c>
      <c r="H19" s="15">
        <f>SUM(D19:G19)</f>
        <v>190</v>
      </c>
      <c r="I19" s="14">
        <v>55</v>
      </c>
      <c r="J19" s="14">
        <v>70</v>
      </c>
      <c r="K19" s="14">
        <v>56</v>
      </c>
      <c r="L19" s="14">
        <v>60</v>
      </c>
      <c r="M19" s="15">
        <f>SUM(I19:L19)</f>
        <v>241</v>
      </c>
      <c r="N19" s="14">
        <v>75</v>
      </c>
      <c r="O19" s="14">
        <v>45</v>
      </c>
      <c r="P19" s="14">
        <v>57</v>
      </c>
      <c r="Q19" s="14">
        <v>65</v>
      </c>
      <c r="R19" s="15">
        <f>SUM(N19:Q19)</f>
        <v>242</v>
      </c>
      <c r="S19" s="16">
        <v>75</v>
      </c>
      <c r="T19" s="16">
        <v>35</v>
      </c>
      <c r="U19" s="16">
        <v>60</v>
      </c>
      <c r="V19" s="16">
        <v>50</v>
      </c>
      <c r="W19" s="15">
        <f>SUM(S19:V19)</f>
        <v>220</v>
      </c>
      <c r="X19" s="14">
        <v>60</v>
      </c>
      <c r="Y19" s="14">
        <v>71</v>
      </c>
      <c r="Z19" s="14">
        <v>60</v>
      </c>
      <c r="AA19" s="14">
        <v>75</v>
      </c>
      <c r="AB19" s="15">
        <f>SUM(X19:AA19)</f>
        <v>266</v>
      </c>
      <c r="AC19" s="14">
        <v>66</v>
      </c>
      <c r="AD19" s="14">
        <v>66</v>
      </c>
      <c r="AE19" s="14">
        <v>50</v>
      </c>
      <c r="AF19" s="14">
        <v>85</v>
      </c>
      <c r="AG19" s="15">
        <f>SUM(AC19:AF19)</f>
        <v>267</v>
      </c>
      <c r="AH19" s="14">
        <v>85</v>
      </c>
      <c r="AI19" s="14">
        <v>75</v>
      </c>
      <c r="AJ19" s="14">
        <v>65</v>
      </c>
      <c r="AK19" s="14">
        <v>65</v>
      </c>
      <c r="AL19" s="15">
        <f>SUM(AH19:AK19)</f>
        <v>290</v>
      </c>
      <c r="AM19" s="17">
        <f>+D19+I19+N19+S19+X19+AC19+AH19</f>
        <v>486</v>
      </c>
      <c r="AN19" s="17">
        <f>+E19+J19+O19+T19+Y19+AD19+AI19</f>
        <v>397</v>
      </c>
      <c r="AO19" s="17">
        <f>+F19+K19+P19+U19+Z19+AE19+AJ19</f>
        <v>378</v>
      </c>
      <c r="AP19" s="17">
        <f>+G19+L19+Q19+V19+AA19+AF19+AK19</f>
        <v>455</v>
      </c>
      <c r="AQ19" s="15">
        <f>SUM(AM19:AP19)</f>
        <v>1716</v>
      </c>
      <c r="AR19" s="14">
        <f>+AM19/AX19</f>
        <v>69.428571428571431</v>
      </c>
      <c r="AS19" s="14">
        <f>+AN19/AX19</f>
        <v>56.714285714285715</v>
      </c>
      <c r="AT19" s="14">
        <f>+AO19/AX19</f>
        <v>54</v>
      </c>
      <c r="AU19" s="14">
        <f>+AP19/AX19</f>
        <v>65</v>
      </c>
      <c r="AV19" s="18">
        <f>SUM(AR19:AU19)</f>
        <v>245.14285714285714</v>
      </c>
      <c r="AW19" s="19">
        <f>COUNTIF(D19:AL19,0)/5</f>
        <v>0</v>
      </c>
      <c r="AX19" s="12">
        <f>+BA19</f>
        <v>7</v>
      </c>
      <c r="AY19" s="20">
        <f>COUNTIF(D19:AL19,"&gt;0")</f>
        <v>35</v>
      </c>
      <c r="AZ19" s="2">
        <f>+AY19/5</f>
        <v>7</v>
      </c>
      <c r="BA19" s="2">
        <f>ROUND((AZ19),0)</f>
        <v>7</v>
      </c>
    </row>
    <row r="20" spans="1:53" x14ac:dyDescent="0.3">
      <c r="A20" s="12">
        <f t="shared" si="0"/>
        <v>15</v>
      </c>
      <c r="B20" s="12">
        <v>24072016</v>
      </c>
      <c r="C20" s="13" t="s">
        <v>36</v>
      </c>
      <c r="D20" s="14">
        <v>90</v>
      </c>
      <c r="E20" s="14">
        <v>70</v>
      </c>
      <c r="F20" s="14">
        <v>46</v>
      </c>
      <c r="G20" s="14">
        <v>95</v>
      </c>
      <c r="H20" s="15">
        <f>SUM(D20:G20)</f>
        <v>301</v>
      </c>
      <c r="I20" s="14">
        <v>59</v>
      </c>
      <c r="J20" s="14">
        <v>66</v>
      </c>
      <c r="K20" s="14">
        <v>78</v>
      </c>
      <c r="L20" s="14">
        <v>92</v>
      </c>
      <c r="M20" s="15">
        <f>SUM(I20:L20)</f>
        <v>295</v>
      </c>
      <c r="N20" s="14">
        <v>95</v>
      </c>
      <c r="O20" s="14">
        <v>82</v>
      </c>
      <c r="P20" s="14">
        <v>48</v>
      </c>
      <c r="Q20" s="14">
        <v>90</v>
      </c>
      <c r="R20" s="15">
        <f>SUM(N20:Q20)</f>
        <v>315</v>
      </c>
      <c r="S20" s="16">
        <v>82</v>
      </c>
      <c r="T20" s="16">
        <v>90</v>
      </c>
      <c r="U20" s="16">
        <v>61</v>
      </c>
      <c r="V20" s="16">
        <v>95</v>
      </c>
      <c r="W20" s="15">
        <f>SUM(S20:V20)</f>
        <v>328</v>
      </c>
      <c r="X20" s="14">
        <v>82</v>
      </c>
      <c r="Y20" s="14">
        <v>76</v>
      </c>
      <c r="Z20" s="14">
        <v>48</v>
      </c>
      <c r="AA20" s="14">
        <v>80</v>
      </c>
      <c r="AB20" s="15">
        <f>SUM(X20:AA20)</f>
        <v>286</v>
      </c>
      <c r="AC20" s="14">
        <v>66</v>
      </c>
      <c r="AD20" s="14">
        <v>80</v>
      </c>
      <c r="AE20" s="14">
        <v>49</v>
      </c>
      <c r="AF20" s="14">
        <v>85</v>
      </c>
      <c r="AG20" s="15">
        <f>SUM(AC20:AF20)</f>
        <v>280</v>
      </c>
      <c r="AH20" s="14">
        <v>91</v>
      </c>
      <c r="AI20" s="14">
        <v>80</v>
      </c>
      <c r="AJ20" s="14">
        <v>44</v>
      </c>
      <c r="AK20" s="14">
        <v>81</v>
      </c>
      <c r="AL20" s="15">
        <f>SUM(AH20:AK20)</f>
        <v>296</v>
      </c>
      <c r="AM20" s="17">
        <f>+D20+I20+N20+S20+X20+AC20+AH20</f>
        <v>565</v>
      </c>
      <c r="AN20" s="17">
        <f>+E20+J20+O20+T20+Y20+AD20+AI20</f>
        <v>544</v>
      </c>
      <c r="AO20" s="17">
        <f>+F20+K20+P20+U20+Z20+AE20+AJ20</f>
        <v>374</v>
      </c>
      <c r="AP20" s="17">
        <f>+G20+L20+Q20+V20+AA20+AF20+AK20</f>
        <v>618</v>
      </c>
      <c r="AQ20" s="15">
        <f>SUM(AM20:AP20)</f>
        <v>2101</v>
      </c>
      <c r="AR20" s="14">
        <f>+AM20/AX20</f>
        <v>80.714285714285708</v>
      </c>
      <c r="AS20" s="14">
        <f>+AN20/AX20</f>
        <v>77.714285714285708</v>
      </c>
      <c r="AT20" s="14">
        <f>+AO20/AX20</f>
        <v>53.428571428571431</v>
      </c>
      <c r="AU20" s="14">
        <f>+AP20/AX20</f>
        <v>88.285714285714292</v>
      </c>
      <c r="AV20" s="18">
        <f>SUM(AR20:AU20)</f>
        <v>300.14285714285711</v>
      </c>
      <c r="AW20" s="19">
        <f>COUNTIF(D20:AL20,0)/5</f>
        <v>0</v>
      </c>
      <c r="AX20" s="12">
        <f>+BA20</f>
        <v>7</v>
      </c>
      <c r="AY20" s="20">
        <f>COUNTIF(D20:AL20,"&gt;0")</f>
        <v>35</v>
      </c>
      <c r="AZ20" s="2">
        <f>+AY20/5</f>
        <v>7</v>
      </c>
      <c r="BA20" s="2">
        <f>ROUND((AZ20),0)</f>
        <v>7</v>
      </c>
    </row>
    <row r="21" spans="1:53" x14ac:dyDescent="0.3">
      <c r="A21" s="12">
        <f t="shared" si="0"/>
        <v>16</v>
      </c>
      <c r="B21" s="12">
        <v>24072017</v>
      </c>
      <c r="C21" s="13" t="s">
        <v>37</v>
      </c>
      <c r="D21" s="14">
        <v>95</v>
      </c>
      <c r="E21" s="14">
        <v>70</v>
      </c>
      <c r="F21" s="14">
        <v>85</v>
      </c>
      <c r="G21" s="14">
        <v>95</v>
      </c>
      <c r="H21" s="15">
        <f>SUM(D21:G21)</f>
        <v>345</v>
      </c>
      <c r="I21" s="14">
        <v>85</v>
      </c>
      <c r="J21" s="14">
        <v>85</v>
      </c>
      <c r="K21" s="14">
        <v>91</v>
      </c>
      <c r="L21" s="14">
        <v>95</v>
      </c>
      <c r="M21" s="15">
        <f>SUM(I21:L21)</f>
        <v>356</v>
      </c>
      <c r="N21" s="14">
        <v>95</v>
      </c>
      <c r="O21" s="14">
        <v>100</v>
      </c>
      <c r="P21" s="14">
        <v>85</v>
      </c>
      <c r="Q21" s="14">
        <v>95</v>
      </c>
      <c r="R21" s="15">
        <f>SUM(N21:Q21)</f>
        <v>375</v>
      </c>
      <c r="S21" s="16">
        <v>85</v>
      </c>
      <c r="T21" s="16">
        <v>95</v>
      </c>
      <c r="U21" s="16">
        <v>85</v>
      </c>
      <c r="V21" s="16">
        <v>80</v>
      </c>
      <c r="W21" s="15">
        <f>SUM(S21:V21)</f>
        <v>345</v>
      </c>
      <c r="X21" s="14">
        <v>85</v>
      </c>
      <c r="Y21" s="14">
        <v>85</v>
      </c>
      <c r="Z21" s="14">
        <v>90</v>
      </c>
      <c r="AA21" s="14">
        <v>90</v>
      </c>
      <c r="AB21" s="15">
        <f>SUM(X21:AA21)</f>
        <v>350</v>
      </c>
      <c r="AC21" s="14">
        <v>65</v>
      </c>
      <c r="AD21" s="14">
        <v>95</v>
      </c>
      <c r="AE21" s="14">
        <v>81</v>
      </c>
      <c r="AF21" s="14">
        <v>100</v>
      </c>
      <c r="AG21" s="15">
        <f>SUM(AC21:AF21)</f>
        <v>341</v>
      </c>
      <c r="AH21" s="14">
        <v>90</v>
      </c>
      <c r="AI21" s="14">
        <v>95</v>
      </c>
      <c r="AJ21" s="14">
        <v>65</v>
      </c>
      <c r="AK21" s="14">
        <v>90</v>
      </c>
      <c r="AL21" s="15">
        <f>SUM(AH21:AK21)</f>
        <v>340</v>
      </c>
      <c r="AM21" s="17">
        <f>+D21+I21+N21+S21+X21+AC21+AH21</f>
        <v>600</v>
      </c>
      <c r="AN21" s="17">
        <f>+E21+J21+O21+T21+Y21+AD21+AI21</f>
        <v>625</v>
      </c>
      <c r="AO21" s="17">
        <f>+F21+K21+P21+U21+Z21+AE21+AJ21</f>
        <v>582</v>
      </c>
      <c r="AP21" s="17">
        <f>+G21+L21+Q21+V21+AA21+AF21+AK21</f>
        <v>645</v>
      </c>
      <c r="AQ21" s="15">
        <f>SUM(AM21:AP21)</f>
        <v>2452</v>
      </c>
      <c r="AR21" s="14">
        <f>+AM21/AX21</f>
        <v>85.714285714285708</v>
      </c>
      <c r="AS21" s="14">
        <f>+AN21/AX21</f>
        <v>89.285714285714292</v>
      </c>
      <c r="AT21" s="14">
        <f>+AO21/AX21</f>
        <v>83.142857142857139</v>
      </c>
      <c r="AU21" s="14">
        <f>+AP21/AX21</f>
        <v>92.142857142857139</v>
      </c>
      <c r="AV21" s="18">
        <f>SUM(AR21:AU21)</f>
        <v>350.28571428571422</v>
      </c>
      <c r="AW21" s="19">
        <f>COUNTIF(D21:AL21,0)/5</f>
        <v>0</v>
      </c>
      <c r="AX21" s="12">
        <f>+BA21</f>
        <v>7</v>
      </c>
      <c r="AY21" s="20">
        <f>COUNTIF(D21:AL21,"&gt;0")</f>
        <v>35</v>
      </c>
      <c r="AZ21" s="2">
        <f>+AY21/5</f>
        <v>7</v>
      </c>
      <c r="BA21" s="2">
        <f>ROUND((AZ21),0)</f>
        <v>7</v>
      </c>
    </row>
    <row r="22" spans="1:53" x14ac:dyDescent="0.3">
      <c r="A22" s="12">
        <f t="shared" si="0"/>
        <v>17</v>
      </c>
      <c r="B22" s="12">
        <v>24072018</v>
      </c>
      <c r="C22" s="13" t="s">
        <v>38</v>
      </c>
      <c r="D22" s="14">
        <v>90</v>
      </c>
      <c r="E22" s="14">
        <v>50</v>
      </c>
      <c r="F22" s="14">
        <v>50</v>
      </c>
      <c r="G22" s="14">
        <v>85</v>
      </c>
      <c r="H22" s="15">
        <f>SUM(D22:G22)</f>
        <v>275</v>
      </c>
      <c r="I22" s="14">
        <v>55</v>
      </c>
      <c r="J22" s="14">
        <v>90</v>
      </c>
      <c r="K22" s="14">
        <v>90</v>
      </c>
      <c r="L22" s="14">
        <v>70</v>
      </c>
      <c r="M22" s="15">
        <f>SUM(I22:L22)</f>
        <v>305</v>
      </c>
      <c r="N22" s="14">
        <v>85</v>
      </c>
      <c r="O22" s="14">
        <v>45</v>
      </c>
      <c r="P22" s="14">
        <v>82</v>
      </c>
      <c r="Q22" s="14">
        <v>55</v>
      </c>
      <c r="R22" s="15">
        <f>SUM(N22:Q22)</f>
        <v>267</v>
      </c>
      <c r="S22" s="16">
        <v>71</v>
      </c>
      <c r="T22" s="16">
        <v>51</v>
      </c>
      <c r="U22" s="16">
        <v>63</v>
      </c>
      <c r="V22" s="16">
        <v>65</v>
      </c>
      <c r="W22" s="15">
        <f>SUM(S22:V22)</f>
        <v>250</v>
      </c>
      <c r="X22" s="14">
        <v>48</v>
      </c>
      <c r="Y22" s="14">
        <v>60</v>
      </c>
      <c r="Z22" s="14">
        <v>55</v>
      </c>
      <c r="AA22" s="14">
        <v>65</v>
      </c>
      <c r="AB22" s="15">
        <f>SUM(X22:AA22)</f>
        <v>228</v>
      </c>
      <c r="AC22" s="14">
        <v>66</v>
      </c>
      <c r="AD22" s="14">
        <v>56</v>
      </c>
      <c r="AE22" s="14">
        <v>65</v>
      </c>
      <c r="AF22" s="14">
        <v>76</v>
      </c>
      <c r="AG22" s="15">
        <f>SUM(AC22:AF22)</f>
        <v>263</v>
      </c>
      <c r="AH22" s="14">
        <v>90</v>
      </c>
      <c r="AI22" s="14">
        <v>45</v>
      </c>
      <c r="AJ22" s="14">
        <v>75</v>
      </c>
      <c r="AK22" s="14">
        <v>45</v>
      </c>
      <c r="AL22" s="15">
        <f>SUM(AH22:AK22)</f>
        <v>255</v>
      </c>
      <c r="AM22" s="17">
        <f>+D22+I22+N22+S22+X22+AC22+AH22</f>
        <v>505</v>
      </c>
      <c r="AN22" s="17">
        <f>+E22+J22+O22+T22+Y22+AD22+AI22</f>
        <v>397</v>
      </c>
      <c r="AO22" s="17">
        <f>+F22+K22+P22+U22+Z22+AE22+AJ22</f>
        <v>480</v>
      </c>
      <c r="AP22" s="17">
        <f>+G22+L22+Q22+V22+AA22+AF22+AK22</f>
        <v>461</v>
      </c>
      <c r="AQ22" s="15">
        <f>SUM(AM22:AP22)</f>
        <v>1843</v>
      </c>
      <c r="AR22" s="14">
        <f>+AM22/AX22</f>
        <v>72.142857142857139</v>
      </c>
      <c r="AS22" s="14">
        <f>+AN22/AX22</f>
        <v>56.714285714285715</v>
      </c>
      <c r="AT22" s="14">
        <f>+AO22/AX22</f>
        <v>68.571428571428569</v>
      </c>
      <c r="AU22" s="14">
        <f>+AP22/AX22</f>
        <v>65.857142857142861</v>
      </c>
      <c r="AV22" s="18">
        <f>SUM(AR22:AU22)</f>
        <v>263.28571428571433</v>
      </c>
      <c r="AW22" s="19">
        <f>COUNTIF(D22:AL22,0)/5</f>
        <v>0</v>
      </c>
      <c r="AX22" s="12">
        <f>+BA22</f>
        <v>7</v>
      </c>
      <c r="AY22" s="20">
        <f>COUNTIF(D22:AL22,"&gt;0")</f>
        <v>35</v>
      </c>
      <c r="AZ22" s="2">
        <f>+AY22/5</f>
        <v>7</v>
      </c>
      <c r="BA22" s="2">
        <f>ROUND((AZ22),0)</f>
        <v>7</v>
      </c>
    </row>
    <row r="23" spans="1:53" x14ac:dyDescent="0.3">
      <c r="A23" s="12">
        <f t="shared" si="0"/>
        <v>18</v>
      </c>
      <c r="B23" s="12">
        <v>24072019</v>
      </c>
      <c r="C23" s="13" t="s">
        <v>39</v>
      </c>
      <c r="D23" s="14">
        <v>95</v>
      </c>
      <c r="E23" s="14">
        <v>90</v>
      </c>
      <c r="F23" s="14">
        <v>50</v>
      </c>
      <c r="G23" s="14">
        <v>80</v>
      </c>
      <c r="H23" s="15">
        <f>SUM(D23:G23)</f>
        <v>315</v>
      </c>
      <c r="I23" s="14">
        <v>52</v>
      </c>
      <c r="J23" s="14">
        <v>80</v>
      </c>
      <c r="K23" s="14">
        <v>82</v>
      </c>
      <c r="L23" s="14">
        <v>91</v>
      </c>
      <c r="M23" s="15">
        <f>SUM(I23:L23)</f>
        <v>305</v>
      </c>
      <c r="N23" s="14">
        <v>75</v>
      </c>
      <c r="O23" s="14">
        <v>86</v>
      </c>
      <c r="P23" s="14">
        <v>71</v>
      </c>
      <c r="Q23" s="14">
        <v>81</v>
      </c>
      <c r="R23" s="15">
        <f>SUM(N23:Q23)</f>
        <v>313</v>
      </c>
      <c r="S23" s="16">
        <v>80</v>
      </c>
      <c r="T23" s="16">
        <v>75</v>
      </c>
      <c r="U23" s="16">
        <v>82</v>
      </c>
      <c r="V23" s="16">
        <v>80</v>
      </c>
      <c r="W23" s="15">
        <f>SUM(S23:V23)</f>
        <v>317</v>
      </c>
      <c r="X23" s="14">
        <v>72</v>
      </c>
      <c r="Y23" s="14">
        <v>55</v>
      </c>
      <c r="Z23" s="14">
        <v>61</v>
      </c>
      <c r="AA23" s="14">
        <v>90</v>
      </c>
      <c r="AB23" s="15">
        <f>SUM(X23:AA23)</f>
        <v>278</v>
      </c>
      <c r="AC23" s="14">
        <v>55</v>
      </c>
      <c r="AD23" s="14">
        <v>85</v>
      </c>
      <c r="AE23" s="14">
        <v>61</v>
      </c>
      <c r="AF23" s="14">
        <v>85</v>
      </c>
      <c r="AG23" s="15">
        <f>SUM(AC23:AF23)</f>
        <v>286</v>
      </c>
      <c r="AH23" s="14">
        <v>85</v>
      </c>
      <c r="AI23" s="14">
        <v>85</v>
      </c>
      <c r="AJ23" s="14">
        <v>70</v>
      </c>
      <c r="AK23" s="14">
        <v>80</v>
      </c>
      <c r="AL23" s="15">
        <f>SUM(AH23:AK23)</f>
        <v>320</v>
      </c>
      <c r="AM23" s="17">
        <f>+D23+I23+N23+S23+X23+AC23+AH23</f>
        <v>514</v>
      </c>
      <c r="AN23" s="17">
        <f>+E23+J23+O23+T23+Y23+AD23+AI23</f>
        <v>556</v>
      </c>
      <c r="AO23" s="17">
        <f>+F23+K23+P23+U23+Z23+AE23+AJ23</f>
        <v>477</v>
      </c>
      <c r="AP23" s="17">
        <f>+G23+L23+Q23+V23+AA23+AF23+AK23</f>
        <v>587</v>
      </c>
      <c r="AQ23" s="15">
        <f>SUM(AM23:AP23)</f>
        <v>2134</v>
      </c>
      <c r="AR23" s="14">
        <f>+AM23/AX23</f>
        <v>73.428571428571431</v>
      </c>
      <c r="AS23" s="14">
        <f>+AN23/AX23</f>
        <v>79.428571428571431</v>
      </c>
      <c r="AT23" s="14">
        <f>+AO23/AX23</f>
        <v>68.142857142857139</v>
      </c>
      <c r="AU23" s="14">
        <f>+AP23/AX23</f>
        <v>83.857142857142861</v>
      </c>
      <c r="AV23" s="18">
        <f>SUM(AR23:AU23)</f>
        <v>304.85714285714289</v>
      </c>
      <c r="AW23" s="19">
        <f>COUNTIF(D23:AL23,0)/5</f>
        <v>0</v>
      </c>
      <c r="AX23" s="12">
        <f>+BA23</f>
        <v>7</v>
      </c>
      <c r="AY23" s="20">
        <f>COUNTIF(D23:AL23,"&gt;0")</f>
        <v>35</v>
      </c>
      <c r="AZ23" s="2">
        <f>+AY23/5</f>
        <v>7</v>
      </c>
      <c r="BA23" s="2">
        <f>ROUND((AZ23),0)</f>
        <v>7</v>
      </c>
    </row>
    <row r="24" spans="1:53" x14ac:dyDescent="0.3">
      <c r="A24" s="12">
        <f t="shared" si="0"/>
        <v>19</v>
      </c>
      <c r="B24" s="12">
        <v>24072020</v>
      </c>
      <c r="C24" s="13" t="s">
        <v>40</v>
      </c>
      <c r="D24" s="14">
        <v>46</v>
      </c>
      <c r="E24" s="14">
        <v>30</v>
      </c>
      <c r="F24" s="14">
        <v>40</v>
      </c>
      <c r="G24" s="14">
        <v>60</v>
      </c>
      <c r="H24" s="15">
        <f>SUM(D24:G24)</f>
        <v>176</v>
      </c>
      <c r="I24" s="14">
        <v>68</v>
      </c>
      <c r="J24" s="14">
        <v>70</v>
      </c>
      <c r="K24" s="14">
        <v>81</v>
      </c>
      <c r="L24" s="14">
        <v>70</v>
      </c>
      <c r="M24" s="15">
        <f>SUM(I24:L24)</f>
        <v>289</v>
      </c>
      <c r="N24" s="14">
        <v>85</v>
      </c>
      <c r="O24" s="14">
        <v>60</v>
      </c>
      <c r="P24" s="14">
        <v>92</v>
      </c>
      <c r="Q24" s="14">
        <v>65</v>
      </c>
      <c r="R24" s="15">
        <f>SUM(N24:Q24)</f>
        <v>302</v>
      </c>
      <c r="S24" s="16">
        <v>80</v>
      </c>
      <c r="T24" s="16">
        <v>55</v>
      </c>
      <c r="U24" s="16">
        <v>62</v>
      </c>
      <c r="V24" s="16">
        <v>75</v>
      </c>
      <c r="W24" s="15">
        <f>SUM(S24:V24)</f>
        <v>272</v>
      </c>
      <c r="X24" s="14">
        <v>83</v>
      </c>
      <c r="Y24" s="14">
        <v>62</v>
      </c>
      <c r="Z24" s="14">
        <v>85</v>
      </c>
      <c r="AA24" s="14">
        <v>100</v>
      </c>
      <c r="AB24" s="15">
        <f>SUM(X24:AA24)</f>
        <v>330</v>
      </c>
      <c r="AC24" s="14">
        <v>61</v>
      </c>
      <c r="AD24" s="14">
        <v>91</v>
      </c>
      <c r="AE24" s="14">
        <v>75</v>
      </c>
      <c r="AF24" s="14">
        <v>80</v>
      </c>
      <c r="AG24" s="15">
        <f>SUM(AC24:AF24)</f>
        <v>307</v>
      </c>
      <c r="AH24" s="14">
        <v>70</v>
      </c>
      <c r="AI24" s="14">
        <v>85</v>
      </c>
      <c r="AJ24" s="14">
        <v>67</v>
      </c>
      <c r="AK24" s="14">
        <v>60</v>
      </c>
      <c r="AL24" s="15">
        <f>SUM(AH24:AK24)</f>
        <v>282</v>
      </c>
      <c r="AM24" s="17">
        <f>+D24+I24+N24+S24+X24+AC24+AH24</f>
        <v>493</v>
      </c>
      <c r="AN24" s="17">
        <f>+E24+J24+O24+T24+Y24+AD24+AI24</f>
        <v>453</v>
      </c>
      <c r="AO24" s="17">
        <f>+F24+K24+P24+U24+Z24+AE24+AJ24</f>
        <v>502</v>
      </c>
      <c r="AP24" s="17">
        <f>+G24+L24+Q24+V24+AA24+AF24+AK24</f>
        <v>510</v>
      </c>
      <c r="AQ24" s="15">
        <f>SUM(AM24:AP24)</f>
        <v>1958</v>
      </c>
      <c r="AR24" s="14">
        <f>+AM24/AX24</f>
        <v>70.428571428571431</v>
      </c>
      <c r="AS24" s="14">
        <f>+AN24/AX24</f>
        <v>64.714285714285708</v>
      </c>
      <c r="AT24" s="14">
        <f>+AO24/AX24</f>
        <v>71.714285714285708</v>
      </c>
      <c r="AU24" s="14">
        <f>+AP24/AX24</f>
        <v>72.857142857142861</v>
      </c>
      <c r="AV24" s="18">
        <f>SUM(AR24:AU24)</f>
        <v>279.71428571428567</v>
      </c>
      <c r="AW24" s="19">
        <f>COUNTIF(D24:AL24,0)/5</f>
        <v>0</v>
      </c>
      <c r="AX24" s="12">
        <f>+BA24</f>
        <v>7</v>
      </c>
      <c r="AY24" s="20">
        <f>COUNTIF(D24:AL24,"&gt;0")</f>
        <v>35</v>
      </c>
      <c r="AZ24" s="2">
        <f>+AY24/5</f>
        <v>7</v>
      </c>
      <c r="BA24" s="2">
        <f>ROUND((AZ24),0)</f>
        <v>7</v>
      </c>
    </row>
    <row r="25" spans="1:53" x14ac:dyDescent="0.3">
      <c r="A25" s="12">
        <f t="shared" si="0"/>
        <v>20</v>
      </c>
      <c r="B25" s="12">
        <v>24072021</v>
      </c>
      <c r="C25" s="13" t="s">
        <v>41</v>
      </c>
      <c r="D25" s="14">
        <v>95</v>
      </c>
      <c r="E25" s="14">
        <v>80</v>
      </c>
      <c r="F25" s="14">
        <v>85</v>
      </c>
      <c r="G25" s="14">
        <v>95</v>
      </c>
      <c r="H25" s="15">
        <f>SUM(D25:G25)</f>
        <v>355</v>
      </c>
      <c r="I25" s="14">
        <v>95</v>
      </c>
      <c r="J25" s="14">
        <v>85</v>
      </c>
      <c r="K25" s="14">
        <v>95</v>
      </c>
      <c r="L25" s="14">
        <v>100</v>
      </c>
      <c r="M25" s="15">
        <f>SUM(I25:L25)</f>
        <v>375</v>
      </c>
      <c r="N25" s="14">
        <v>85</v>
      </c>
      <c r="O25" s="14">
        <v>80</v>
      </c>
      <c r="P25" s="14">
        <v>95</v>
      </c>
      <c r="Q25" s="14">
        <v>85</v>
      </c>
      <c r="R25" s="15">
        <f>SUM(N25:Q25)</f>
        <v>345</v>
      </c>
      <c r="S25" s="16">
        <v>75</v>
      </c>
      <c r="T25" s="16">
        <v>80</v>
      </c>
      <c r="U25" s="16">
        <v>100</v>
      </c>
      <c r="V25" s="16">
        <v>75</v>
      </c>
      <c r="W25" s="15">
        <f>SUM(S25:V25)</f>
        <v>330</v>
      </c>
      <c r="X25" s="14">
        <v>80</v>
      </c>
      <c r="Y25" s="14">
        <v>90</v>
      </c>
      <c r="Z25" s="14">
        <v>95</v>
      </c>
      <c r="AA25" s="14">
        <v>90</v>
      </c>
      <c r="AB25" s="15">
        <f>SUM(X25:AA25)</f>
        <v>355</v>
      </c>
      <c r="AC25" s="14">
        <v>80</v>
      </c>
      <c r="AD25" s="14">
        <v>85</v>
      </c>
      <c r="AE25" s="14">
        <v>90</v>
      </c>
      <c r="AF25" s="14">
        <v>90</v>
      </c>
      <c r="AG25" s="15">
        <f>SUM(AC25:AF25)</f>
        <v>345</v>
      </c>
      <c r="AH25" s="14">
        <v>60</v>
      </c>
      <c r="AI25" s="14">
        <v>100</v>
      </c>
      <c r="AJ25" s="14">
        <v>75</v>
      </c>
      <c r="AK25" s="14">
        <v>60</v>
      </c>
      <c r="AL25" s="15">
        <f>SUM(AH25:AK25)</f>
        <v>295</v>
      </c>
      <c r="AM25" s="17">
        <f>+D25+I25+N25+S25+X25+AC25+AH25</f>
        <v>570</v>
      </c>
      <c r="AN25" s="17">
        <f>+E25+J25+O25+T25+Y25+AD25+AI25</f>
        <v>600</v>
      </c>
      <c r="AO25" s="17">
        <f>+F25+K25+P25+U25+Z25+AE25+AJ25</f>
        <v>635</v>
      </c>
      <c r="AP25" s="17">
        <f>+G25+L25+Q25+V25+AA25+AF25+AK25</f>
        <v>595</v>
      </c>
      <c r="AQ25" s="15">
        <f>SUM(AM25:AP25)</f>
        <v>2400</v>
      </c>
      <c r="AR25" s="14">
        <f>+AM25/AX25</f>
        <v>81.428571428571431</v>
      </c>
      <c r="AS25" s="14">
        <f>+AN25/AX25</f>
        <v>85.714285714285708</v>
      </c>
      <c r="AT25" s="14">
        <f>+AO25/AX25</f>
        <v>90.714285714285708</v>
      </c>
      <c r="AU25" s="14">
        <f>+AP25/AX25</f>
        <v>85</v>
      </c>
      <c r="AV25" s="18">
        <f>SUM(AR25:AU25)</f>
        <v>342.85714285714283</v>
      </c>
      <c r="AW25" s="19">
        <f>COUNTIF(D25:AL25,0)/5</f>
        <v>0</v>
      </c>
      <c r="AX25" s="12">
        <f>+BA25</f>
        <v>7</v>
      </c>
      <c r="AY25" s="20">
        <f>COUNTIF(D25:AL25,"&gt;0")</f>
        <v>35</v>
      </c>
      <c r="AZ25" s="2">
        <f>+AY25/5</f>
        <v>7</v>
      </c>
      <c r="BA25" s="2">
        <f>ROUND((AZ25),0)</f>
        <v>7</v>
      </c>
    </row>
    <row r="26" spans="1:53" x14ac:dyDescent="0.3">
      <c r="A26" s="12">
        <f t="shared" si="0"/>
        <v>21</v>
      </c>
      <c r="B26" s="12">
        <v>24072022</v>
      </c>
      <c r="C26" s="13" t="s">
        <v>42</v>
      </c>
      <c r="D26" s="14">
        <v>76</v>
      </c>
      <c r="E26" s="14">
        <v>54</v>
      </c>
      <c r="F26" s="14">
        <v>71</v>
      </c>
      <c r="G26" s="14">
        <v>81</v>
      </c>
      <c r="H26" s="15">
        <f>SUM(D26:G26)</f>
        <v>282</v>
      </c>
      <c r="I26" s="14">
        <v>85</v>
      </c>
      <c r="J26" s="14">
        <v>81</v>
      </c>
      <c r="K26" s="14">
        <v>87</v>
      </c>
      <c r="L26" s="14">
        <v>86</v>
      </c>
      <c r="M26" s="15">
        <f>SUM(I26:L26)</f>
        <v>339</v>
      </c>
      <c r="N26" s="14">
        <v>80</v>
      </c>
      <c r="O26" s="14">
        <v>86</v>
      </c>
      <c r="P26" s="14">
        <v>87</v>
      </c>
      <c r="Q26" s="14">
        <v>77</v>
      </c>
      <c r="R26" s="15">
        <f>SUM(N26:Q26)</f>
        <v>330</v>
      </c>
      <c r="S26" s="16">
        <v>86</v>
      </c>
      <c r="T26" s="16">
        <v>70</v>
      </c>
      <c r="U26" s="16">
        <v>86</v>
      </c>
      <c r="V26" s="16">
        <v>66</v>
      </c>
      <c r="W26" s="15">
        <f>SUM(S26:V26)</f>
        <v>308</v>
      </c>
      <c r="X26" s="14">
        <v>71</v>
      </c>
      <c r="Y26" s="14">
        <v>83</v>
      </c>
      <c r="Z26" s="14">
        <v>80</v>
      </c>
      <c r="AA26" s="14">
        <v>90</v>
      </c>
      <c r="AB26" s="15">
        <f>SUM(X26:AA26)</f>
        <v>324</v>
      </c>
      <c r="AC26" s="14">
        <v>81</v>
      </c>
      <c r="AD26" s="14">
        <v>86</v>
      </c>
      <c r="AE26" s="14">
        <v>95</v>
      </c>
      <c r="AF26" s="14">
        <v>90</v>
      </c>
      <c r="AG26" s="15">
        <f>SUM(AC26:AF26)</f>
        <v>352</v>
      </c>
      <c r="AH26" s="14">
        <v>80</v>
      </c>
      <c r="AI26" s="14">
        <v>100</v>
      </c>
      <c r="AJ26" s="14">
        <v>75</v>
      </c>
      <c r="AK26" s="14">
        <v>75</v>
      </c>
      <c r="AL26" s="15">
        <f>SUM(AH26:AK26)</f>
        <v>330</v>
      </c>
      <c r="AM26" s="17">
        <f>+D26+I26+N26+S26+X26+AC26+AH26</f>
        <v>559</v>
      </c>
      <c r="AN26" s="17">
        <f>+E26+J26+O26+T26+Y26+AD26+AI26</f>
        <v>560</v>
      </c>
      <c r="AO26" s="17">
        <f>+F26+K26+P26+U26+Z26+AE26+AJ26</f>
        <v>581</v>
      </c>
      <c r="AP26" s="17">
        <f>+G26+L26+Q26+V26+AA26+AF26+AK26</f>
        <v>565</v>
      </c>
      <c r="AQ26" s="15">
        <f>SUM(AM26:AP26)</f>
        <v>2265</v>
      </c>
      <c r="AR26" s="14">
        <f>+AM26/AX26</f>
        <v>79.857142857142861</v>
      </c>
      <c r="AS26" s="14">
        <f>+AN26/AX26</f>
        <v>80</v>
      </c>
      <c r="AT26" s="14">
        <f>+AO26/AX26</f>
        <v>83</v>
      </c>
      <c r="AU26" s="14">
        <f>+AP26/AX26</f>
        <v>80.714285714285708</v>
      </c>
      <c r="AV26" s="18">
        <f>SUM(AR26:AU26)</f>
        <v>323.57142857142856</v>
      </c>
      <c r="AW26" s="19">
        <f>COUNTIF(D26:AL26,0)/5</f>
        <v>0</v>
      </c>
      <c r="AX26" s="12">
        <f>+BA26</f>
        <v>7</v>
      </c>
      <c r="AY26" s="20">
        <f>COUNTIF(D26:AL26,"&gt;0")</f>
        <v>35</v>
      </c>
      <c r="AZ26" s="2">
        <f>+AY26/5</f>
        <v>7</v>
      </c>
      <c r="BA26" s="2">
        <f>ROUND((AZ26),0)</f>
        <v>7</v>
      </c>
    </row>
    <row r="27" spans="1:53" x14ac:dyDescent="0.3">
      <c r="A27" s="12">
        <f t="shared" si="0"/>
        <v>22</v>
      </c>
      <c r="B27" s="12">
        <v>24072023</v>
      </c>
      <c r="C27" s="13" t="s">
        <v>43</v>
      </c>
      <c r="D27" s="14">
        <v>96</v>
      </c>
      <c r="E27" s="14">
        <v>71</v>
      </c>
      <c r="F27" s="14">
        <v>80</v>
      </c>
      <c r="G27" s="14">
        <v>90</v>
      </c>
      <c r="H27" s="15">
        <f>SUM(D27:G27)</f>
        <v>337</v>
      </c>
      <c r="I27" s="14">
        <v>78</v>
      </c>
      <c r="J27" s="14">
        <v>95</v>
      </c>
      <c r="K27" s="14">
        <v>86</v>
      </c>
      <c r="L27" s="14">
        <v>100</v>
      </c>
      <c r="M27" s="15">
        <f>SUM(I27:L27)</f>
        <v>359</v>
      </c>
      <c r="N27" s="14" t="s">
        <v>44</v>
      </c>
      <c r="O27" s="14" t="s">
        <v>44</v>
      </c>
      <c r="P27" s="14" t="s">
        <v>44</v>
      </c>
      <c r="Q27" s="14" t="s">
        <v>44</v>
      </c>
      <c r="R27" s="15">
        <f>SUM(N27:Q27)</f>
        <v>0</v>
      </c>
      <c r="S27" s="16">
        <v>95</v>
      </c>
      <c r="T27" s="16">
        <v>95</v>
      </c>
      <c r="U27" s="16">
        <v>95</v>
      </c>
      <c r="V27" s="16">
        <v>80</v>
      </c>
      <c r="W27" s="15">
        <f>SUM(S27:V27)</f>
        <v>365</v>
      </c>
      <c r="X27" s="14">
        <v>85</v>
      </c>
      <c r="Y27" s="14">
        <v>85</v>
      </c>
      <c r="Z27" s="14">
        <v>100</v>
      </c>
      <c r="AA27" s="14">
        <v>100</v>
      </c>
      <c r="AB27" s="15">
        <f>SUM(X27:AA27)</f>
        <v>370</v>
      </c>
      <c r="AC27" s="14">
        <v>90</v>
      </c>
      <c r="AD27" s="14">
        <v>100</v>
      </c>
      <c r="AE27" s="14">
        <v>90</v>
      </c>
      <c r="AF27" s="14">
        <v>95</v>
      </c>
      <c r="AG27" s="15">
        <f>SUM(AC27:AF27)</f>
        <v>375</v>
      </c>
      <c r="AH27" s="14">
        <v>80</v>
      </c>
      <c r="AI27" s="14">
        <v>100</v>
      </c>
      <c r="AJ27" s="14">
        <v>80</v>
      </c>
      <c r="AK27" s="14">
        <v>75</v>
      </c>
      <c r="AL27" s="15">
        <f>SUM(AH27:AK27)</f>
        <v>335</v>
      </c>
      <c r="AM27" s="17">
        <f>+D27+I27+N27+S27+X27+AC27+AH27</f>
        <v>524</v>
      </c>
      <c r="AN27" s="17">
        <f>+E27+J27+O27+T27+Y27+AD27+AI27</f>
        <v>546</v>
      </c>
      <c r="AO27" s="17">
        <f>+F27+K27+P27+U27+Z27+AE27+AJ27</f>
        <v>531</v>
      </c>
      <c r="AP27" s="17">
        <f>+G27+L27+Q27+V27+AA27+AF27+AK27</f>
        <v>540</v>
      </c>
      <c r="AQ27" s="15">
        <f>SUM(AM27:AP27)</f>
        <v>2141</v>
      </c>
      <c r="AR27" s="14">
        <f>+AM27/AX27</f>
        <v>87.333333333333329</v>
      </c>
      <c r="AS27" s="14">
        <f>+AN27/AX27</f>
        <v>91</v>
      </c>
      <c r="AT27" s="14">
        <f>+AO27/AX27</f>
        <v>88.5</v>
      </c>
      <c r="AU27" s="14">
        <f>+AP27/AX27</f>
        <v>90</v>
      </c>
      <c r="AV27" s="18">
        <f>SUM(AR27:AU27)</f>
        <v>356.83333333333331</v>
      </c>
      <c r="AW27" s="19">
        <f>COUNTIF(D27:AL27,0)/5</f>
        <v>1</v>
      </c>
      <c r="AX27" s="12">
        <f>+BA27</f>
        <v>6</v>
      </c>
      <c r="AY27" s="20">
        <f>COUNTIF(D27:AL27,"&gt;0")</f>
        <v>30</v>
      </c>
      <c r="AZ27" s="2">
        <f>+AY27/5</f>
        <v>6</v>
      </c>
      <c r="BA27" s="2">
        <f>ROUND((AZ27),0)</f>
        <v>6</v>
      </c>
    </row>
    <row r="28" spans="1:53" x14ac:dyDescent="0.3">
      <c r="A28" s="12">
        <f t="shared" si="0"/>
        <v>23</v>
      </c>
      <c r="B28" s="12">
        <v>24072024</v>
      </c>
      <c r="C28" s="13" t="s">
        <v>45</v>
      </c>
      <c r="D28" s="14">
        <v>85</v>
      </c>
      <c r="E28" s="14">
        <v>70</v>
      </c>
      <c r="F28" s="14">
        <v>85</v>
      </c>
      <c r="G28" s="14">
        <v>85</v>
      </c>
      <c r="H28" s="15">
        <f>SUM(D28:G28)</f>
        <v>325</v>
      </c>
      <c r="I28" s="14">
        <v>80</v>
      </c>
      <c r="J28" s="14">
        <v>90</v>
      </c>
      <c r="K28" s="14">
        <v>86</v>
      </c>
      <c r="L28" s="14">
        <v>100</v>
      </c>
      <c r="M28" s="15">
        <f>SUM(I28:L28)</f>
        <v>356</v>
      </c>
      <c r="N28" s="14">
        <v>70</v>
      </c>
      <c r="O28" s="14">
        <v>95</v>
      </c>
      <c r="P28" s="14">
        <v>95</v>
      </c>
      <c r="Q28" s="14">
        <v>55</v>
      </c>
      <c r="R28" s="15">
        <f>SUM(N28:Q28)</f>
        <v>315</v>
      </c>
      <c r="S28" s="16">
        <v>85</v>
      </c>
      <c r="T28" s="16">
        <v>95</v>
      </c>
      <c r="U28" s="16">
        <v>100</v>
      </c>
      <c r="V28" s="16">
        <v>75</v>
      </c>
      <c r="W28" s="15">
        <f>SUM(S28:V28)</f>
        <v>355</v>
      </c>
      <c r="X28" s="14">
        <v>75</v>
      </c>
      <c r="Y28" s="14">
        <v>85</v>
      </c>
      <c r="Z28" s="14">
        <v>95</v>
      </c>
      <c r="AA28" s="14">
        <v>90</v>
      </c>
      <c r="AB28" s="15">
        <f>SUM(X28:AA28)</f>
        <v>345</v>
      </c>
      <c r="AC28" s="14">
        <v>70</v>
      </c>
      <c r="AD28" s="14">
        <v>85</v>
      </c>
      <c r="AE28" s="14">
        <v>100</v>
      </c>
      <c r="AF28" s="14">
        <v>95</v>
      </c>
      <c r="AG28" s="15">
        <f>SUM(AC28:AF28)</f>
        <v>350</v>
      </c>
      <c r="AH28" s="14">
        <v>70</v>
      </c>
      <c r="AI28" s="14">
        <v>90</v>
      </c>
      <c r="AJ28" s="14">
        <v>75</v>
      </c>
      <c r="AK28" s="14">
        <v>75</v>
      </c>
      <c r="AL28" s="15">
        <f>SUM(AH28:AK28)</f>
        <v>310</v>
      </c>
      <c r="AM28" s="17">
        <f>+D28+I28+N28+S28+X28+AC28+AH28</f>
        <v>535</v>
      </c>
      <c r="AN28" s="17">
        <f>+E28+J28+O28+T28+Y28+AD28+AI28</f>
        <v>610</v>
      </c>
      <c r="AO28" s="17">
        <f>+F28+K28+P28+U28+Z28+AE28+AJ28</f>
        <v>636</v>
      </c>
      <c r="AP28" s="17">
        <f>+G28+L28+Q28+V28+AA28+AF28+AK28</f>
        <v>575</v>
      </c>
      <c r="AQ28" s="15">
        <f>SUM(AM28:AP28)</f>
        <v>2356</v>
      </c>
      <c r="AR28" s="14">
        <f>+AM28/AX28</f>
        <v>76.428571428571431</v>
      </c>
      <c r="AS28" s="14">
        <f>+AN28/AX28</f>
        <v>87.142857142857139</v>
      </c>
      <c r="AT28" s="14">
        <f>+AO28/AX28</f>
        <v>90.857142857142861</v>
      </c>
      <c r="AU28" s="14">
        <f>+AP28/AX28</f>
        <v>82.142857142857139</v>
      </c>
      <c r="AV28" s="18">
        <f>SUM(AR28:AU28)</f>
        <v>336.57142857142856</v>
      </c>
      <c r="AW28" s="19">
        <f>COUNTIF(D28:AL28,0)/5</f>
        <v>0</v>
      </c>
      <c r="AX28" s="12">
        <f>+BA28</f>
        <v>7</v>
      </c>
      <c r="AY28" s="20">
        <f>COUNTIF(D28:AL28,"&gt;0")</f>
        <v>35</v>
      </c>
      <c r="AZ28" s="2">
        <f>+AY28/5</f>
        <v>7</v>
      </c>
      <c r="BA28" s="2">
        <f>ROUND((AZ28),0)</f>
        <v>7</v>
      </c>
    </row>
    <row r="29" spans="1:53" x14ac:dyDescent="0.3">
      <c r="A29" s="12">
        <f t="shared" si="0"/>
        <v>24</v>
      </c>
      <c r="B29" s="12">
        <v>24072025</v>
      </c>
      <c r="C29" s="13" t="s">
        <v>46</v>
      </c>
      <c r="D29" s="14">
        <v>100</v>
      </c>
      <c r="E29" s="14">
        <v>80</v>
      </c>
      <c r="F29" s="14">
        <v>95</v>
      </c>
      <c r="G29" s="14">
        <v>90</v>
      </c>
      <c r="H29" s="15">
        <f>SUM(D29:G29)</f>
        <v>365</v>
      </c>
      <c r="I29" s="14">
        <v>95</v>
      </c>
      <c r="J29" s="14">
        <v>90</v>
      </c>
      <c r="K29" s="14">
        <v>100</v>
      </c>
      <c r="L29" s="14">
        <v>100</v>
      </c>
      <c r="M29" s="15">
        <f>SUM(I29:L29)</f>
        <v>385</v>
      </c>
      <c r="N29" s="14">
        <v>90</v>
      </c>
      <c r="O29" s="14">
        <v>100</v>
      </c>
      <c r="P29" s="14">
        <v>100</v>
      </c>
      <c r="Q29" s="14">
        <v>100</v>
      </c>
      <c r="R29" s="15">
        <f>SUM(N29:Q29)</f>
        <v>390</v>
      </c>
      <c r="S29" s="16">
        <v>95</v>
      </c>
      <c r="T29" s="16">
        <v>95</v>
      </c>
      <c r="U29" s="16">
        <v>100</v>
      </c>
      <c r="V29" s="16">
        <v>85</v>
      </c>
      <c r="W29" s="15">
        <f>SUM(S29:V29)</f>
        <v>375</v>
      </c>
      <c r="X29" s="14">
        <v>100</v>
      </c>
      <c r="Y29" s="14">
        <v>95</v>
      </c>
      <c r="Z29" s="14">
        <v>100</v>
      </c>
      <c r="AA29" s="14">
        <v>100</v>
      </c>
      <c r="AB29" s="15">
        <f>SUM(X29:AA29)</f>
        <v>395</v>
      </c>
      <c r="AC29" s="14">
        <v>100</v>
      </c>
      <c r="AD29" s="14">
        <v>100</v>
      </c>
      <c r="AE29" s="14">
        <v>100</v>
      </c>
      <c r="AF29" s="14">
        <v>100</v>
      </c>
      <c r="AG29" s="15">
        <f>SUM(AC29:AF29)</f>
        <v>400</v>
      </c>
      <c r="AH29" s="14">
        <v>90</v>
      </c>
      <c r="AI29" s="14">
        <v>95</v>
      </c>
      <c r="AJ29" s="14">
        <v>95</v>
      </c>
      <c r="AK29" s="14">
        <v>80</v>
      </c>
      <c r="AL29" s="15">
        <f>SUM(AH29:AK29)</f>
        <v>360</v>
      </c>
      <c r="AM29" s="17">
        <f>+D29+I29+N29+S29+X29+AC29+AH29</f>
        <v>670</v>
      </c>
      <c r="AN29" s="17">
        <f>+E29+J29+O29+T29+Y29+AD29+AI29</f>
        <v>655</v>
      </c>
      <c r="AO29" s="17">
        <f>+F29+K29+P29+U29+Z29+AE29+AJ29</f>
        <v>690</v>
      </c>
      <c r="AP29" s="17">
        <f>+G29+L29+Q29+V29+AA29+AF29+AK29</f>
        <v>655</v>
      </c>
      <c r="AQ29" s="15">
        <f>SUM(AM29:AP29)</f>
        <v>2670</v>
      </c>
      <c r="AR29" s="14">
        <f>+AM29/AX29</f>
        <v>95.714285714285708</v>
      </c>
      <c r="AS29" s="14">
        <f>+AN29/AX29</f>
        <v>93.571428571428569</v>
      </c>
      <c r="AT29" s="14">
        <f>+AO29/AX29</f>
        <v>98.571428571428569</v>
      </c>
      <c r="AU29" s="14">
        <f>+AP29/AX29</f>
        <v>93.571428571428569</v>
      </c>
      <c r="AV29" s="18">
        <f>SUM(AR29:AU29)</f>
        <v>381.42857142857139</v>
      </c>
      <c r="AW29" s="19">
        <f>COUNTIF(D29:AL29,0)/5</f>
        <v>0</v>
      </c>
      <c r="AX29" s="12">
        <f>+BA29</f>
        <v>7</v>
      </c>
      <c r="AY29" s="20">
        <f>COUNTIF(D29:AL29,"&gt;0")</f>
        <v>35</v>
      </c>
      <c r="AZ29" s="2">
        <f>+AY29/5</f>
        <v>7</v>
      </c>
      <c r="BA29" s="2">
        <f>ROUND((AZ29),0)</f>
        <v>7</v>
      </c>
    </row>
    <row r="30" spans="1:53" x14ac:dyDescent="0.3">
      <c r="A30" s="12">
        <f t="shared" si="0"/>
        <v>25</v>
      </c>
      <c r="B30" s="12">
        <v>24072026</v>
      </c>
      <c r="C30" s="13" t="s">
        <v>47</v>
      </c>
      <c r="D30" s="14">
        <v>95</v>
      </c>
      <c r="E30" s="14">
        <v>66</v>
      </c>
      <c r="F30" s="14">
        <v>75</v>
      </c>
      <c r="G30" s="14">
        <v>95</v>
      </c>
      <c r="H30" s="15">
        <f>SUM(D30:G30)</f>
        <v>331</v>
      </c>
      <c r="I30" s="14">
        <v>80</v>
      </c>
      <c r="J30" s="14">
        <v>90</v>
      </c>
      <c r="K30" s="14">
        <v>95</v>
      </c>
      <c r="L30" s="14">
        <v>90</v>
      </c>
      <c r="M30" s="15">
        <f>SUM(I30:L30)</f>
        <v>355</v>
      </c>
      <c r="N30" s="14">
        <v>90</v>
      </c>
      <c r="O30" s="14">
        <v>100</v>
      </c>
      <c r="P30" s="14">
        <v>90</v>
      </c>
      <c r="Q30" s="14">
        <v>90</v>
      </c>
      <c r="R30" s="15">
        <f>SUM(N30:Q30)</f>
        <v>370</v>
      </c>
      <c r="S30" s="16">
        <v>90</v>
      </c>
      <c r="T30" s="16">
        <v>95</v>
      </c>
      <c r="U30" s="16">
        <v>85</v>
      </c>
      <c r="V30" s="16">
        <v>91</v>
      </c>
      <c r="W30" s="15">
        <f>SUM(S30:V30)</f>
        <v>361</v>
      </c>
      <c r="X30" s="14">
        <v>90</v>
      </c>
      <c r="Y30" s="14">
        <v>90</v>
      </c>
      <c r="Z30" s="14">
        <v>80</v>
      </c>
      <c r="AA30" s="14">
        <v>85</v>
      </c>
      <c r="AB30" s="15">
        <f>SUM(X30:AA30)</f>
        <v>345</v>
      </c>
      <c r="AC30" s="14">
        <v>85</v>
      </c>
      <c r="AD30" s="14">
        <v>95</v>
      </c>
      <c r="AE30" s="14">
        <v>75</v>
      </c>
      <c r="AF30" s="14">
        <v>95</v>
      </c>
      <c r="AG30" s="15">
        <f>SUM(AC30:AF30)</f>
        <v>350</v>
      </c>
      <c r="AH30" s="14">
        <v>85</v>
      </c>
      <c r="AI30" s="14">
        <v>95</v>
      </c>
      <c r="AJ30" s="14">
        <v>80</v>
      </c>
      <c r="AK30" s="14">
        <v>71</v>
      </c>
      <c r="AL30" s="15">
        <f>SUM(AH30:AK30)</f>
        <v>331</v>
      </c>
      <c r="AM30" s="17">
        <f>+D30+I30+N30+S30+X30+AC30+AH30</f>
        <v>615</v>
      </c>
      <c r="AN30" s="17">
        <f>+E30+J30+O30+T30+Y30+AD30+AI30</f>
        <v>631</v>
      </c>
      <c r="AO30" s="17">
        <f>+F30+K30+P30+U30+Z30+AE30+AJ30</f>
        <v>580</v>
      </c>
      <c r="AP30" s="17">
        <f>+G30+L30+Q30+V30+AA30+AF30+AK30</f>
        <v>617</v>
      </c>
      <c r="AQ30" s="15">
        <f>SUM(AM30:AP30)</f>
        <v>2443</v>
      </c>
      <c r="AR30" s="14">
        <f>+AM30/AX30</f>
        <v>87.857142857142861</v>
      </c>
      <c r="AS30" s="14">
        <f>+AN30/AX30</f>
        <v>90.142857142857139</v>
      </c>
      <c r="AT30" s="14">
        <f>+AO30/AX30</f>
        <v>82.857142857142861</v>
      </c>
      <c r="AU30" s="14">
        <f>+AP30/AX30</f>
        <v>88.142857142857139</v>
      </c>
      <c r="AV30" s="18">
        <f>SUM(AR30:AU30)</f>
        <v>349</v>
      </c>
      <c r="AW30" s="19">
        <f>COUNTIF(D30:AL30,0)/5</f>
        <v>0</v>
      </c>
      <c r="AX30" s="12">
        <f>+BA30</f>
        <v>7</v>
      </c>
      <c r="AY30" s="20">
        <f>COUNTIF(D30:AL30,"&gt;0")</f>
        <v>35</v>
      </c>
      <c r="AZ30" s="2">
        <f>+AY30/5</f>
        <v>7</v>
      </c>
      <c r="BA30" s="2">
        <f>ROUND((AZ30),0)</f>
        <v>7</v>
      </c>
    </row>
    <row r="31" spans="1:53" x14ac:dyDescent="0.3">
      <c r="A31" s="12">
        <f t="shared" si="0"/>
        <v>26</v>
      </c>
      <c r="B31" s="12">
        <v>24072027</v>
      </c>
      <c r="C31" s="13" t="s">
        <v>48</v>
      </c>
      <c r="D31" s="14">
        <v>70</v>
      </c>
      <c r="E31" s="14">
        <v>65</v>
      </c>
      <c r="F31" s="14">
        <v>75</v>
      </c>
      <c r="G31" s="14">
        <v>90</v>
      </c>
      <c r="H31" s="15">
        <f>SUM(D31:G31)</f>
        <v>300</v>
      </c>
      <c r="I31" s="14">
        <v>53</v>
      </c>
      <c r="J31" s="14">
        <v>76</v>
      </c>
      <c r="K31" s="14">
        <v>83</v>
      </c>
      <c r="L31" s="14">
        <v>86</v>
      </c>
      <c r="M31" s="15">
        <f>SUM(I31:L31)</f>
        <v>298</v>
      </c>
      <c r="N31" s="14" t="s">
        <v>44</v>
      </c>
      <c r="O31" s="14" t="s">
        <v>44</v>
      </c>
      <c r="P31" s="14" t="s">
        <v>44</v>
      </c>
      <c r="Q31" s="14" t="s">
        <v>44</v>
      </c>
      <c r="R31" s="15">
        <f>SUM(N31:Q31)</f>
        <v>0</v>
      </c>
      <c r="S31" s="16">
        <v>63</v>
      </c>
      <c r="T31" s="16">
        <v>65</v>
      </c>
      <c r="U31" s="16">
        <v>58</v>
      </c>
      <c r="V31" s="16">
        <v>70</v>
      </c>
      <c r="W31" s="15">
        <f>SUM(S31:V31)</f>
        <v>256</v>
      </c>
      <c r="X31" s="14">
        <v>80</v>
      </c>
      <c r="Y31" s="14">
        <v>60</v>
      </c>
      <c r="Z31" s="14">
        <v>28</v>
      </c>
      <c r="AA31" s="14">
        <v>56</v>
      </c>
      <c r="AB31" s="15">
        <f>SUM(X31:AA31)</f>
        <v>224</v>
      </c>
      <c r="AC31" s="14">
        <v>56</v>
      </c>
      <c r="AD31" s="14">
        <v>65</v>
      </c>
      <c r="AE31" s="14">
        <v>72</v>
      </c>
      <c r="AF31" s="14">
        <v>80</v>
      </c>
      <c r="AG31" s="15">
        <f>SUM(AC31:AF31)</f>
        <v>273</v>
      </c>
      <c r="AH31" s="14">
        <v>80</v>
      </c>
      <c r="AI31" s="14">
        <v>100</v>
      </c>
      <c r="AJ31" s="14">
        <v>70</v>
      </c>
      <c r="AK31" s="14">
        <v>55</v>
      </c>
      <c r="AL31" s="15">
        <f>SUM(AH31:AK31)</f>
        <v>305</v>
      </c>
      <c r="AM31" s="17">
        <f>+D31+I31+N31+S31+X31+AC31+AH31</f>
        <v>402</v>
      </c>
      <c r="AN31" s="17">
        <f>+E31+J31+O31+T31+Y31+AD31+AI31</f>
        <v>431</v>
      </c>
      <c r="AO31" s="17">
        <f>+F31+K31+P31+U31+Z31+AE31+AJ31</f>
        <v>386</v>
      </c>
      <c r="AP31" s="17">
        <f>+G31+L31+Q31+V31+AA31+AF31+AK31</f>
        <v>437</v>
      </c>
      <c r="AQ31" s="15">
        <f>SUM(AM31:AP31)</f>
        <v>1656</v>
      </c>
      <c r="AR31" s="14">
        <f>+AM31/AX31</f>
        <v>67</v>
      </c>
      <c r="AS31" s="14">
        <f>+AN31/AX31</f>
        <v>71.833333333333329</v>
      </c>
      <c r="AT31" s="14">
        <f>+AO31/AX31</f>
        <v>64.333333333333329</v>
      </c>
      <c r="AU31" s="14">
        <f>+AP31/AX31</f>
        <v>72.833333333333329</v>
      </c>
      <c r="AV31" s="18">
        <f>SUM(AR31:AU31)</f>
        <v>275.99999999999994</v>
      </c>
      <c r="AW31" s="19">
        <f>COUNTIF(D31:AL31,0)/5</f>
        <v>1</v>
      </c>
      <c r="AX31" s="12">
        <f>+BA31</f>
        <v>6</v>
      </c>
      <c r="AY31" s="20">
        <f>COUNTIF(D31:AL31,"&gt;0")</f>
        <v>30</v>
      </c>
      <c r="AZ31" s="2">
        <f>+AY31/5</f>
        <v>6</v>
      </c>
      <c r="BA31" s="2">
        <f>ROUND((AZ31),0)</f>
        <v>6</v>
      </c>
    </row>
    <row r="32" spans="1:53" x14ac:dyDescent="0.3">
      <c r="A32" s="12">
        <f t="shared" si="0"/>
        <v>27</v>
      </c>
      <c r="B32" s="12">
        <v>24072028</v>
      </c>
      <c r="C32" s="13" t="s">
        <v>49</v>
      </c>
      <c r="D32" s="14">
        <v>76</v>
      </c>
      <c r="E32" s="14">
        <v>50</v>
      </c>
      <c r="F32" s="14">
        <v>41</v>
      </c>
      <c r="G32" s="14">
        <v>95</v>
      </c>
      <c r="H32" s="15">
        <f>SUM(D32:G32)</f>
        <v>262</v>
      </c>
      <c r="I32" s="14">
        <v>65</v>
      </c>
      <c r="J32" s="14">
        <v>90</v>
      </c>
      <c r="K32" s="14">
        <v>85</v>
      </c>
      <c r="L32" s="14">
        <v>100</v>
      </c>
      <c r="M32" s="15">
        <f>SUM(I32:L32)</f>
        <v>340</v>
      </c>
      <c r="N32" s="14">
        <v>85</v>
      </c>
      <c r="O32" s="14">
        <v>91</v>
      </c>
      <c r="P32" s="14">
        <v>85</v>
      </c>
      <c r="Q32" s="14">
        <v>80</v>
      </c>
      <c r="R32" s="15">
        <f>SUM(N32:Q32)</f>
        <v>341</v>
      </c>
      <c r="S32" s="16">
        <v>70</v>
      </c>
      <c r="T32" s="16">
        <v>71</v>
      </c>
      <c r="U32" s="16">
        <v>29</v>
      </c>
      <c r="V32" s="16">
        <v>45</v>
      </c>
      <c r="W32" s="15">
        <f>SUM(S32:V32)</f>
        <v>215</v>
      </c>
      <c r="X32" s="14">
        <v>65</v>
      </c>
      <c r="Y32" s="14">
        <v>85</v>
      </c>
      <c r="Z32" s="14">
        <v>59</v>
      </c>
      <c r="AA32" s="14">
        <v>70</v>
      </c>
      <c r="AB32" s="15">
        <f>SUM(X32:AA32)</f>
        <v>279</v>
      </c>
      <c r="AC32" s="14">
        <v>54</v>
      </c>
      <c r="AD32" s="14">
        <v>70</v>
      </c>
      <c r="AE32" s="14">
        <v>70</v>
      </c>
      <c r="AF32" s="14">
        <v>95</v>
      </c>
      <c r="AG32" s="15">
        <f>SUM(AC32:AF32)</f>
        <v>289</v>
      </c>
      <c r="AH32" s="14">
        <v>70</v>
      </c>
      <c r="AI32" s="14">
        <v>70</v>
      </c>
      <c r="AJ32" s="14">
        <v>55</v>
      </c>
      <c r="AK32" s="14">
        <v>65</v>
      </c>
      <c r="AL32" s="15">
        <f>SUM(AH32:AK32)</f>
        <v>260</v>
      </c>
      <c r="AM32" s="17">
        <f>+D32+I32+N32+S32+X32+AC32+AH32</f>
        <v>485</v>
      </c>
      <c r="AN32" s="17">
        <f>+E32+J32+O32+T32+Y32+AD32+AI32</f>
        <v>527</v>
      </c>
      <c r="AO32" s="17">
        <f>+F32+K32+P32+U32+Z32+AE32+AJ32</f>
        <v>424</v>
      </c>
      <c r="AP32" s="17">
        <f>+G32+L32+Q32+V32+AA32+AF32+AK32</f>
        <v>550</v>
      </c>
      <c r="AQ32" s="15">
        <f>SUM(AM32:AP32)</f>
        <v>1986</v>
      </c>
      <c r="AR32" s="14">
        <f>+AM32/AX32</f>
        <v>69.285714285714292</v>
      </c>
      <c r="AS32" s="14">
        <f>+AN32/AX32</f>
        <v>75.285714285714292</v>
      </c>
      <c r="AT32" s="14">
        <f>+AO32/AX32</f>
        <v>60.571428571428569</v>
      </c>
      <c r="AU32" s="14">
        <f>+AP32/AX32</f>
        <v>78.571428571428569</v>
      </c>
      <c r="AV32" s="18">
        <f>SUM(AR32:AU32)</f>
        <v>283.71428571428572</v>
      </c>
      <c r="AW32" s="19">
        <f>COUNTIF(D32:AL32,0)/5</f>
        <v>0</v>
      </c>
      <c r="AX32" s="12">
        <f>+BA32</f>
        <v>7</v>
      </c>
      <c r="AY32" s="20">
        <f>COUNTIF(D32:AL32,"&gt;0")</f>
        <v>35</v>
      </c>
      <c r="AZ32" s="2">
        <f>+AY32/5</f>
        <v>7</v>
      </c>
      <c r="BA32" s="2">
        <f>ROUND((AZ32),0)</f>
        <v>7</v>
      </c>
    </row>
    <row r="33" spans="1:53" x14ac:dyDescent="0.3">
      <c r="A33" s="12">
        <f t="shared" si="0"/>
        <v>28</v>
      </c>
      <c r="B33" s="12">
        <v>24072029</v>
      </c>
      <c r="C33" s="13" t="s">
        <v>50</v>
      </c>
      <c r="D33" s="14">
        <v>87</v>
      </c>
      <c r="E33" s="14">
        <v>61</v>
      </c>
      <c r="F33" s="14">
        <v>95</v>
      </c>
      <c r="G33" s="14">
        <v>90</v>
      </c>
      <c r="H33" s="15">
        <f>SUM(D33:G33)</f>
        <v>333</v>
      </c>
      <c r="I33" s="14">
        <v>77</v>
      </c>
      <c r="J33" s="14">
        <v>80</v>
      </c>
      <c r="K33" s="14">
        <v>90</v>
      </c>
      <c r="L33" s="14">
        <v>85</v>
      </c>
      <c r="M33" s="15">
        <f>SUM(I33:L33)</f>
        <v>332</v>
      </c>
      <c r="N33" s="14">
        <v>91</v>
      </c>
      <c r="O33" s="14">
        <v>75</v>
      </c>
      <c r="P33" s="14">
        <v>95</v>
      </c>
      <c r="Q33" s="14">
        <v>75</v>
      </c>
      <c r="R33" s="15">
        <f>SUM(N33:Q33)</f>
        <v>336</v>
      </c>
      <c r="S33" s="16">
        <v>85</v>
      </c>
      <c r="T33" s="16">
        <v>81</v>
      </c>
      <c r="U33" s="16">
        <v>100</v>
      </c>
      <c r="V33" s="16">
        <v>75</v>
      </c>
      <c r="W33" s="15">
        <f>SUM(S33:V33)</f>
        <v>341</v>
      </c>
      <c r="X33" s="14">
        <v>82</v>
      </c>
      <c r="Y33" s="14">
        <v>90</v>
      </c>
      <c r="Z33" s="14">
        <v>96</v>
      </c>
      <c r="AA33" s="14">
        <v>95</v>
      </c>
      <c r="AB33" s="15">
        <f>SUM(X33:AA33)</f>
        <v>363</v>
      </c>
      <c r="AC33" s="14">
        <v>72</v>
      </c>
      <c r="AD33" s="14">
        <v>91</v>
      </c>
      <c r="AE33" s="14">
        <v>90</v>
      </c>
      <c r="AF33" s="14">
        <v>95</v>
      </c>
      <c r="AG33" s="15">
        <f>SUM(AC33:AF33)</f>
        <v>348</v>
      </c>
      <c r="AH33" s="14">
        <v>73</v>
      </c>
      <c r="AI33" s="14">
        <v>78</v>
      </c>
      <c r="AJ33" s="14">
        <v>85</v>
      </c>
      <c r="AK33" s="14">
        <v>86</v>
      </c>
      <c r="AL33" s="15">
        <f>SUM(AH33:AK33)</f>
        <v>322</v>
      </c>
      <c r="AM33" s="17">
        <f>+D33+I33+N33+S33+X33+AC33+AH33</f>
        <v>567</v>
      </c>
      <c r="AN33" s="17">
        <f>+E33+J33+O33+T33+Y33+AD33+AI33</f>
        <v>556</v>
      </c>
      <c r="AO33" s="17">
        <f>+F33+K33+P33+U33+Z33+AE33+AJ33</f>
        <v>651</v>
      </c>
      <c r="AP33" s="17">
        <f>+G33+L33+Q33+V33+AA33+AF33+AK33</f>
        <v>601</v>
      </c>
      <c r="AQ33" s="15">
        <f>SUM(AM33:AP33)</f>
        <v>2375</v>
      </c>
      <c r="AR33" s="14">
        <f>+AM33/AX33</f>
        <v>81</v>
      </c>
      <c r="AS33" s="14">
        <f>+AN33/AX33</f>
        <v>79.428571428571431</v>
      </c>
      <c r="AT33" s="14">
        <f>+AO33/AX33</f>
        <v>93</v>
      </c>
      <c r="AU33" s="14">
        <f>+AP33/AX33</f>
        <v>85.857142857142861</v>
      </c>
      <c r="AV33" s="18">
        <f>SUM(AR33:AU33)</f>
        <v>339.28571428571433</v>
      </c>
      <c r="AW33" s="19">
        <f>COUNTIF(D33:AL33,0)/5</f>
        <v>0</v>
      </c>
      <c r="AX33" s="12">
        <f>+BA33</f>
        <v>7</v>
      </c>
      <c r="AY33" s="20">
        <f>COUNTIF(D33:AL33,"&gt;0")</f>
        <v>35</v>
      </c>
      <c r="AZ33" s="2">
        <f>+AY33/5</f>
        <v>7</v>
      </c>
      <c r="BA33" s="2">
        <f>ROUND((AZ33),0)</f>
        <v>7</v>
      </c>
    </row>
    <row r="34" spans="1:53" x14ac:dyDescent="0.3">
      <c r="A34" s="12">
        <f t="shared" si="0"/>
        <v>29</v>
      </c>
      <c r="B34" s="12">
        <v>24072030</v>
      </c>
      <c r="C34" s="13" t="s">
        <v>51</v>
      </c>
      <c r="D34" s="14">
        <v>90</v>
      </c>
      <c r="E34" s="14">
        <v>70</v>
      </c>
      <c r="F34" s="14">
        <v>95</v>
      </c>
      <c r="G34" s="14">
        <v>95</v>
      </c>
      <c r="H34" s="15">
        <f>SUM(D34:G34)</f>
        <v>350</v>
      </c>
      <c r="I34" s="14">
        <v>91</v>
      </c>
      <c r="J34" s="14">
        <v>91</v>
      </c>
      <c r="K34" s="14">
        <v>90</v>
      </c>
      <c r="L34" s="14">
        <v>95</v>
      </c>
      <c r="M34" s="15">
        <f>SUM(I34:L34)</f>
        <v>367</v>
      </c>
      <c r="N34" s="14">
        <v>91</v>
      </c>
      <c r="O34" s="14">
        <v>95</v>
      </c>
      <c r="P34" s="14">
        <v>90</v>
      </c>
      <c r="Q34" s="14">
        <v>90</v>
      </c>
      <c r="R34" s="15">
        <f>SUM(N34:Q34)</f>
        <v>366</v>
      </c>
      <c r="S34" s="16">
        <v>90</v>
      </c>
      <c r="T34" s="16">
        <v>85</v>
      </c>
      <c r="U34" s="16">
        <v>91</v>
      </c>
      <c r="V34" s="16">
        <v>100</v>
      </c>
      <c r="W34" s="15">
        <f>SUM(S34:V34)</f>
        <v>366</v>
      </c>
      <c r="X34" s="14">
        <v>85</v>
      </c>
      <c r="Y34" s="14">
        <v>85</v>
      </c>
      <c r="Z34" s="14">
        <v>100</v>
      </c>
      <c r="AA34" s="14">
        <v>100</v>
      </c>
      <c r="AB34" s="15">
        <f>SUM(X34:AA34)</f>
        <v>370</v>
      </c>
      <c r="AC34" s="14">
        <v>70</v>
      </c>
      <c r="AD34" s="14">
        <v>95</v>
      </c>
      <c r="AE34" s="14">
        <v>70</v>
      </c>
      <c r="AF34" s="14">
        <v>90</v>
      </c>
      <c r="AG34" s="15">
        <f>SUM(AC34:AF34)</f>
        <v>325</v>
      </c>
      <c r="AH34" s="14">
        <v>95</v>
      </c>
      <c r="AI34" s="14">
        <v>90</v>
      </c>
      <c r="AJ34" s="14">
        <v>80</v>
      </c>
      <c r="AK34" s="14">
        <v>80</v>
      </c>
      <c r="AL34" s="15">
        <f>SUM(AH34:AK34)</f>
        <v>345</v>
      </c>
      <c r="AM34" s="17">
        <f>+D34+I34+N34+S34+X34+AC34+AH34</f>
        <v>612</v>
      </c>
      <c r="AN34" s="17">
        <f>+E34+J34+O34+T34+Y34+AD34+AI34</f>
        <v>611</v>
      </c>
      <c r="AO34" s="17">
        <f>+F34+K34+P34+U34+Z34+AE34+AJ34</f>
        <v>616</v>
      </c>
      <c r="AP34" s="17">
        <f>+G34+L34+Q34+V34+AA34+AF34+AK34</f>
        <v>650</v>
      </c>
      <c r="AQ34" s="15">
        <f>SUM(AM34:AP34)</f>
        <v>2489</v>
      </c>
      <c r="AR34" s="14">
        <f>+AM34/AX34</f>
        <v>87.428571428571431</v>
      </c>
      <c r="AS34" s="14">
        <f>+AN34/AX34</f>
        <v>87.285714285714292</v>
      </c>
      <c r="AT34" s="14">
        <f>+AO34/AX34</f>
        <v>88</v>
      </c>
      <c r="AU34" s="14">
        <f>+AP34/AX34</f>
        <v>92.857142857142861</v>
      </c>
      <c r="AV34" s="18">
        <f>SUM(AR34:AU34)</f>
        <v>355.57142857142856</v>
      </c>
      <c r="AW34" s="19">
        <f>COUNTIF(D34:AL34,0)/5</f>
        <v>0</v>
      </c>
      <c r="AX34" s="12">
        <f>+BA34</f>
        <v>7</v>
      </c>
      <c r="AY34" s="20">
        <f>COUNTIF(D34:AL34,"&gt;0")</f>
        <v>35</v>
      </c>
      <c r="AZ34" s="2">
        <f>+AY34/5</f>
        <v>7</v>
      </c>
      <c r="BA34" s="2">
        <f>ROUND((AZ34),0)</f>
        <v>7</v>
      </c>
    </row>
    <row r="35" spans="1:53" x14ac:dyDescent="0.3">
      <c r="A35" s="12">
        <f t="shared" si="0"/>
        <v>30</v>
      </c>
      <c r="B35" s="12">
        <v>24072031</v>
      </c>
      <c r="C35" s="13" t="s">
        <v>52</v>
      </c>
      <c r="D35" s="14">
        <v>30</v>
      </c>
      <c r="E35" s="14">
        <v>50</v>
      </c>
      <c r="F35" s="14">
        <v>30</v>
      </c>
      <c r="G35" s="14">
        <v>50</v>
      </c>
      <c r="H35" s="15">
        <f>SUM(D35:G35)</f>
        <v>160</v>
      </c>
      <c r="I35" s="14">
        <v>58</v>
      </c>
      <c r="J35" s="14">
        <v>28</v>
      </c>
      <c r="K35" s="14">
        <v>38</v>
      </c>
      <c r="L35" s="14">
        <v>36</v>
      </c>
      <c r="M35" s="15">
        <f>SUM(I35:L35)</f>
        <v>160</v>
      </c>
      <c r="N35" s="14">
        <v>52</v>
      </c>
      <c r="O35" s="14">
        <v>21</v>
      </c>
      <c r="P35" s="14">
        <v>81</v>
      </c>
      <c r="Q35" s="14">
        <v>50</v>
      </c>
      <c r="R35" s="15">
        <f>SUM(N35:Q35)</f>
        <v>204</v>
      </c>
      <c r="S35" s="16">
        <v>0</v>
      </c>
      <c r="T35" s="16">
        <v>0</v>
      </c>
      <c r="U35" s="16">
        <v>0</v>
      </c>
      <c r="V35" s="16">
        <v>0</v>
      </c>
      <c r="W35" s="15">
        <f>SUM(S35:V35)</f>
        <v>0</v>
      </c>
      <c r="X35" s="14">
        <v>50</v>
      </c>
      <c r="Y35" s="14">
        <v>45</v>
      </c>
      <c r="Z35" s="14">
        <v>65</v>
      </c>
      <c r="AA35" s="14">
        <v>70</v>
      </c>
      <c r="AB35" s="15">
        <f>SUM(X35:AA35)</f>
        <v>230</v>
      </c>
      <c r="AC35" s="14">
        <v>52</v>
      </c>
      <c r="AD35" s="14">
        <v>70</v>
      </c>
      <c r="AE35" s="14">
        <v>36</v>
      </c>
      <c r="AF35" s="14">
        <v>66</v>
      </c>
      <c r="AG35" s="15">
        <f>SUM(AC35:AF35)</f>
        <v>224</v>
      </c>
      <c r="AH35" s="14">
        <v>50</v>
      </c>
      <c r="AI35" s="14">
        <v>56</v>
      </c>
      <c r="AJ35" s="14">
        <v>33</v>
      </c>
      <c r="AK35" s="14">
        <v>40</v>
      </c>
      <c r="AL35" s="15">
        <f>SUM(AH35:AK35)</f>
        <v>179</v>
      </c>
      <c r="AM35" s="17">
        <f>+D35+I35+N35+S35+X35+AC35+AH35</f>
        <v>292</v>
      </c>
      <c r="AN35" s="17">
        <f>+E35+J35+O35+T35+Y35+AD35+AI35</f>
        <v>270</v>
      </c>
      <c r="AO35" s="17">
        <f>+F35+K35+P35+U35+Z35+AE35+AJ35</f>
        <v>283</v>
      </c>
      <c r="AP35" s="17">
        <f>+G35+L35+Q35+V35+AA35+AF35+AK35</f>
        <v>312</v>
      </c>
      <c r="AQ35" s="15">
        <f>SUM(AM35:AP35)</f>
        <v>1157</v>
      </c>
      <c r="AR35" s="14">
        <f>+AM35/AX35</f>
        <v>48.666666666666664</v>
      </c>
      <c r="AS35" s="14">
        <f>+AN35/AX35</f>
        <v>45</v>
      </c>
      <c r="AT35" s="14">
        <f>+AO35/AX35</f>
        <v>47.166666666666664</v>
      </c>
      <c r="AU35" s="14">
        <f>+AP35/AX35</f>
        <v>52</v>
      </c>
      <c r="AV35" s="18">
        <f>SUM(AR35:AU35)</f>
        <v>192.83333333333331</v>
      </c>
      <c r="AW35" s="19">
        <f>COUNTIF(D35:AL35,0)/5</f>
        <v>1</v>
      </c>
      <c r="AX35" s="12">
        <f>+BA35</f>
        <v>6</v>
      </c>
      <c r="AY35" s="20">
        <f>COUNTIF(D35:AL35,"&gt;0")</f>
        <v>30</v>
      </c>
      <c r="AZ35" s="2">
        <f>+AY35/5</f>
        <v>6</v>
      </c>
      <c r="BA35" s="2">
        <f>ROUND((AZ35),0)</f>
        <v>6</v>
      </c>
    </row>
    <row r="36" spans="1:53" x14ac:dyDescent="0.3">
      <c r="A36" s="12">
        <f t="shared" si="0"/>
        <v>31</v>
      </c>
      <c r="B36" s="12">
        <v>24072033</v>
      </c>
      <c r="C36" s="13" t="s">
        <v>53</v>
      </c>
      <c r="D36" s="14">
        <v>90</v>
      </c>
      <c r="E36" s="14">
        <v>45</v>
      </c>
      <c r="F36" s="14">
        <v>40</v>
      </c>
      <c r="G36" s="14">
        <v>56</v>
      </c>
      <c r="H36" s="15">
        <f>SUM(D36:G36)</f>
        <v>231</v>
      </c>
      <c r="I36" s="14">
        <v>67</v>
      </c>
      <c r="J36" s="14">
        <v>81</v>
      </c>
      <c r="K36" s="14">
        <v>55</v>
      </c>
      <c r="L36" s="14">
        <v>90</v>
      </c>
      <c r="M36" s="15">
        <f>SUM(I36:L36)</f>
        <v>293</v>
      </c>
      <c r="N36" s="14">
        <v>70</v>
      </c>
      <c r="O36" s="14">
        <v>55</v>
      </c>
      <c r="P36" s="14">
        <v>65</v>
      </c>
      <c r="Q36" s="14">
        <v>55</v>
      </c>
      <c r="R36" s="15">
        <f>SUM(N36:Q36)</f>
        <v>245</v>
      </c>
      <c r="S36" s="16">
        <v>61</v>
      </c>
      <c r="T36" s="16">
        <v>75</v>
      </c>
      <c r="U36" s="16">
        <v>42</v>
      </c>
      <c r="V36" s="16">
        <v>75</v>
      </c>
      <c r="W36" s="15">
        <f>SUM(S36:V36)</f>
        <v>253</v>
      </c>
      <c r="X36" s="14">
        <v>75</v>
      </c>
      <c r="Y36" s="14">
        <v>80</v>
      </c>
      <c r="Z36" s="14">
        <v>85</v>
      </c>
      <c r="AA36" s="14">
        <v>95</v>
      </c>
      <c r="AB36" s="15">
        <f>SUM(X36:AA36)</f>
        <v>335</v>
      </c>
      <c r="AC36" s="14">
        <v>46</v>
      </c>
      <c r="AD36" s="14">
        <v>60</v>
      </c>
      <c r="AE36" s="14">
        <v>70</v>
      </c>
      <c r="AF36" s="14">
        <v>95</v>
      </c>
      <c r="AG36" s="15">
        <f>SUM(AC36:AF36)</f>
        <v>271</v>
      </c>
      <c r="AH36" s="14">
        <v>50</v>
      </c>
      <c r="AI36" s="14">
        <v>75</v>
      </c>
      <c r="AJ36" s="14">
        <v>85</v>
      </c>
      <c r="AK36" s="14">
        <v>40</v>
      </c>
      <c r="AL36" s="15">
        <f>SUM(AH36:AK36)</f>
        <v>250</v>
      </c>
      <c r="AM36" s="17">
        <f>+D36+I36+N36+S36+X36+AC36+AH36</f>
        <v>459</v>
      </c>
      <c r="AN36" s="17">
        <f>+E36+J36+O36+T36+Y36+AD36+AI36</f>
        <v>471</v>
      </c>
      <c r="AO36" s="17">
        <f>+F36+K36+P36+U36+Z36+AE36+AJ36</f>
        <v>442</v>
      </c>
      <c r="AP36" s="17">
        <f>+G36+L36+Q36+V36+AA36+AF36+AK36</f>
        <v>506</v>
      </c>
      <c r="AQ36" s="15">
        <f>SUM(AM36:AP36)</f>
        <v>1878</v>
      </c>
      <c r="AR36" s="14">
        <f>+AM36/AX36</f>
        <v>65.571428571428569</v>
      </c>
      <c r="AS36" s="14">
        <f>+AN36/AX36</f>
        <v>67.285714285714292</v>
      </c>
      <c r="AT36" s="14">
        <f>+AO36/AX36</f>
        <v>63.142857142857146</v>
      </c>
      <c r="AU36" s="14">
        <f>+AP36/AX36</f>
        <v>72.285714285714292</v>
      </c>
      <c r="AV36" s="18">
        <f>SUM(AR36:AU36)</f>
        <v>268.28571428571428</v>
      </c>
      <c r="AW36" s="19">
        <f>COUNTIF(D36:AL36,0)/5</f>
        <v>0</v>
      </c>
      <c r="AX36" s="12">
        <f>+BA36</f>
        <v>7</v>
      </c>
      <c r="AY36" s="20">
        <f>COUNTIF(D36:AL36,"&gt;0")</f>
        <v>35</v>
      </c>
      <c r="AZ36" s="2">
        <f>+AY36/5</f>
        <v>7</v>
      </c>
      <c r="BA36" s="2">
        <f>ROUND((AZ36),0)</f>
        <v>7</v>
      </c>
    </row>
    <row r="37" spans="1:53" x14ac:dyDescent="0.3">
      <c r="A37" s="12">
        <f t="shared" si="0"/>
        <v>32</v>
      </c>
      <c r="B37" s="12">
        <v>24072034</v>
      </c>
      <c r="C37" s="13" t="s">
        <v>54</v>
      </c>
      <c r="D37" s="14">
        <v>65</v>
      </c>
      <c r="E37" s="14">
        <v>70</v>
      </c>
      <c r="F37" s="14">
        <v>55</v>
      </c>
      <c r="G37" s="14">
        <v>95</v>
      </c>
      <c r="H37" s="15">
        <f>SUM(D37:G37)</f>
        <v>285</v>
      </c>
      <c r="I37" s="14">
        <v>34</v>
      </c>
      <c r="J37" s="14">
        <v>50</v>
      </c>
      <c r="K37" s="14">
        <v>38</v>
      </c>
      <c r="L37" s="14">
        <v>45</v>
      </c>
      <c r="M37" s="15">
        <f>SUM(I37:L37)</f>
        <v>167</v>
      </c>
      <c r="N37" s="14" t="s">
        <v>44</v>
      </c>
      <c r="O37" s="14" t="s">
        <v>44</v>
      </c>
      <c r="P37" s="14" t="s">
        <v>44</v>
      </c>
      <c r="Q37" s="14" t="s">
        <v>44</v>
      </c>
      <c r="R37" s="15">
        <f>SUM(N37:Q37)</f>
        <v>0</v>
      </c>
      <c r="S37" s="16">
        <v>75</v>
      </c>
      <c r="T37" s="16">
        <v>70</v>
      </c>
      <c r="U37" s="16">
        <v>46</v>
      </c>
      <c r="V37" s="16">
        <v>60</v>
      </c>
      <c r="W37" s="15">
        <f>SUM(S37:V37)</f>
        <v>251</v>
      </c>
      <c r="X37" s="14">
        <v>70</v>
      </c>
      <c r="Y37" s="14">
        <v>65</v>
      </c>
      <c r="Z37" s="14">
        <v>60</v>
      </c>
      <c r="AA37" s="14">
        <v>85</v>
      </c>
      <c r="AB37" s="15">
        <f>SUM(X37:AA37)</f>
        <v>280</v>
      </c>
      <c r="AC37" s="14">
        <v>61</v>
      </c>
      <c r="AD37" s="14">
        <v>80</v>
      </c>
      <c r="AE37" s="14">
        <v>70</v>
      </c>
      <c r="AF37" s="14">
        <v>85</v>
      </c>
      <c r="AG37" s="15">
        <f>SUM(AC37:AF37)</f>
        <v>296</v>
      </c>
      <c r="AH37" s="14">
        <v>60</v>
      </c>
      <c r="AI37" s="14">
        <v>80</v>
      </c>
      <c r="AJ37" s="14">
        <v>50</v>
      </c>
      <c r="AK37" s="14">
        <v>70</v>
      </c>
      <c r="AL37" s="15">
        <f>SUM(AH37:AK37)</f>
        <v>260</v>
      </c>
      <c r="AM37" s="17">
        <f>+D37+I37+N37+S37+X37+AC37+AH37</f>
        <v>365</v>
      </c>
      <c r="AN37" s="17">
        <f>+E37+J37+O37+T37+Y37+AD37+AI37</f>
        <v>415</v>
      </c>
      <c r="AO37" s="17">
        <f>+F37+K37+P37+U37+Z37+AE37+AJ37</f>
        <v>319</v>
      </c>
      <c r="AP37" s="17">
        <f>+G37+L37+Q37+V37+AA37+AF37+AK37</f>
        <v>440</v>
      </c>
      <c r="AQ37" s="15">
        <f>SUM(AM37:AP37)</f>
        <v>1539</v>
      </c>
      <c r="AR37" s="14">
        <f>+AM37/AX37</f>
        <v>60.833333333333336</v>
      </c>
      <c r="AS37" s="14">
        <f>+AN37/AX37</f>
        <v>69.166666666666671</v>
      </c>
      <c r="AT37" s="14">
        <f>+AO37/AX37</f>
        <v>53.166666666666664</v>
      </c>
      <c r="AU37" s="14">
        <f>+AP37/AX37</f>
        <v>73.333333333333329</v>
      </c>
      <c r="AV37" s="18">
        <f>SUM(AR37:AU37)</f>
        <v>256.5</v>
      </c>
      <c r="AW37" s="19">
        <f>COUNTIF(D37:AL37,0)/5</f>
        <v>1</v>
      </c>
      <c r="AX37" s="12">
        <f>+BA37</f>
        <v>6</v>
      </c>
      <c r="AY37" s="20">
        <f>COUNTIF(D37:AL37,"&gt;0")</f>
        <v>30</v>
      </c>
      <c r="AZ37" s="2">
        <f>+AY37/5</f>
        <v>6</v>
      </c>
      <c r="BA37" s="2">
        <f>ROUND((AZ37),0)</f>
        <v>6</v>
      </c>
    </row>
    <row r="38" spans="1:53" x14ac:dyDescent="0.3">
      <c r="A38" s="12">
        <f t="shared" si="0"/>
        <v>33</v>
      </c>
      <c r="B38" s="12">
        <v>24072035</v>
      </c>
      <c r="C38" s="13" t="s">
        <v>55</v>
      </c>
      <c r="D38" s="14">
        <v>55</v>
      </c>
      <c r="E38" s="14">
        <v>35</v>
      </c>
      <c r="F38" s="14">
        <v>47</v>
      </c>
      <c r="G38" s="14">
        <v>60</v>
      </c>
      <c r="H38" s="15">
        <f>SUM(D38:G38)</f>
        <v>197</v>
      </c>
      <c r="I38" s="14">
        <v>32</v>
      </c>
      <c r="J38" s="14">
        <v>63</v>
      </c>
      <c r="K38" s="14">
        <v>48</v>
      </c>
      <c r="L38" s="14">
        <v>56</v>
      </c>
      <c r="M38" s="15">
        <f>SUM(I38:L38)</f>
        <v>199</v>
      </c>
      <c r="N38" s="14">
        <v>69</v>
      </c>
      <c r="O38" s="14">
        <v>49</v>
      </c>
      <c r="P38" s="14">
        <v>17</v>
      </c>
      <c r="Q38" s="14">
        <v>46</v>
      </c>
      <c r="R38" s="15">
        <f>SUM(N38:Q38)</f>
        <v>181</v>
      </c>
      <c r="S38" s="16">
        <v>59</v>
      </c>
      <c r="T38" s="16">
        <v>47</v>
      </c>
      <c r="U38" s="16">
        <v>44</v>
      </c>
      <c r="V38" s="16">
        <v>37</v>
      </c>
      <c r="W38" s="15">
        <f>SUM(S38:V38)</f>
        <v>187</v>
      </c>
      <c r="X38" s="14">
        <v>57</v>
      </c>
      <c r="Y38" s="14">
        <v>42</v>
      </c>
      <c r="Z38" s="14">
        <v>37</v>
      </c>
      <c r="AA38" s="14">
        <v>66</v>
      </c>
      <c r="AB38" s="15">
        <f>SUM(X38:AA38)</f>
        <v>202</v>
      </c>
      <c r="AC38" s="14">
        <v>43</v>
      </c>
      <c r="AD38" s="14">
        <v>35</v>
      </c>
      <c r="AE38" s="14">
        <v>55</v>
      </c>
      <c r="AF38" s="14">
        <v>66</v>
      </c>
      <c r="AG38" s="15">
        <f>SUM(AC38:AF38)</f>
        <v>199</v>
      </c>
      <c r="AH38" s="14">
        <v>70</v>
      </c>
      <c r="AI38" s="14">
        <v>52</v>
      </c>
      <c r="AJ38" s="14">
        <v>65</v>
      </c>
      <c r="AK38" s="14">
        <v>56</v>
      </c>
      <c r="AL38" s="15">
        <f>SUM(AH38:AK38)</f>
        <v>243</v>
      </c>
      <c r="AM38" s="17">
        <f>+D38+I38+N38+S38+X38+AC38+AH38</f>
        <v>385</v>
      </c>
      <c r="AN38" s="17">
        <f>+E38+J38+O38+T38+Y38+AD38+AI38</f>
        <v>323</v>
      </c>
      <c r="AO38" s="17">
        <f>+F38+K38+P38+U38+Z38+AE38+AJ38</f>
        <v>313</v>
      </c>
      <c r="AP38" s="17">
        <f>+G38+L38+Q38+V38+AA38+AF38+AK38</f>
        <v>387</v>
      </c>
      <c r="AQ38" s="15">
        <f>SUM(AM38:AP38)</f>
        <v>1408</v>
      </c>
      <c r="AR38" s="14">
        <f>+AM38/AX38</f>
        <v>55</v>
      </c>
      <c r="AS38" s="14">
        <f>+AN38/AX38</f>
        <v>46.142857142857146</v>
      </c>
      <c r="AT38" s="14">
        <f>+AO38/AX38</f>
        <v>44.714285714285715</v>
      </c>
      <c r="AU38" s="14">
        <f>+AP38/AX38</f>
        <v>55.285714285714285</v>
      </c>
      <c r="AV38" s="18">
        <f>SUM(AR38:AU38)</f>
        <v>201.14285714285714</v>
      </c>
      <c r="AW38" s="19">
        <f>COUNTIF(D38:AL38,0)/5</f>
        <v>0</v>
      </c>
      <c r="AX38" s="12">
        <f>+BA38</f>
        <v>7</v>
      </c>
      <c r="AY38" s="20">
        <f>COUNTIF(D38:AL38,"&gt;0")</f>
        <v>35</v>
      </c>
      <c r="AZ38" s="2">
        <f>+AY38/5</f>
        <v>7</v>
      </c>
      <c r="BA38" s="2">
        <f>ROUND((AZ38),0)</f>
        <v>7</v>
      </c>
    </row>
    <row r="39" spans="1:53" x14ac:dyDescent="0.3">
      <c r="A39" s="12">
        <f t="shared" si="0"/>
        <v>34</v>
      </c>
      <c r="B39" s="12">
        <v>24072036</v>
      </c>
      <c r="C39" s="13" t="s">
        <v>56</v>
      </c>
      <c r="D39" s="14">
        <v>53</v>
      </c>
      <c r="E39" s="14">
        <v>31</v>
      </c>
      <c r="F39" s="14">
        <v>21</v>
      </c>
      <c r="G39" s="14">
        <v>75</v>
      </c>
      <c r="H39" s="15">
        <f>SUM(D39:G39)</f>
        <v>180</v>
      </c>
      <c r="I39" s="14">
        <v>91</v>
      </c>
      <c r="J39" s="14">
        <v>60</v>
      </c>
      <c r="K39" s="14">
        <v>80</v>
      </c>
      <c r="L39" s="14">
        <v>90</v>
      </c>
      <c r="M39" s="15">
        <f>SUM(I39:L39)</f>
        <v>321</v>
      </c>
      <c r="N39" s="14">
        <v>62</v>
      </c>
      <c r="O39" s="14">
        <v>52</v>
      </c>
      <c r="P39" s="14">
        <v>35</v>
      </c>
      <c r="Q39" s="14">
        <v>61</v>
      </c>
      <c r="R39" s="15">
        <f>SUM(N39:Q39)</f>
        <v>210</v>
      </c>
      <c r="S39" s="16">
        <v>65</v>
      </c>
      <c r="T39" s="16">
        <v>44</v>
      </c>
      <c r="U39" s="16">
        <v>24</v>
      </c>
      <c r="V39" s="16">
        <v>34</v>
      </c>
      <c r="W39" s="15">
        <f>SUM(S39:V39)</f>
        <v>167</v>
      </c>
      <c r="X39" s="14">
        <v>60</v>
      </c>
      <c r="Y39" s="14">
        <v>56</v>
      </c>
      <c r="Z39" s="14">
        <v>55</v>
      </c>
      <c r="AA39" s="14">
        <v>86</v>
      </c>
      <c r="AB39" s="15">
        <f>SUM(X39:AA39)</f>
        <v>257</v>
      </c>
      <c r="AC39" s="14">
        <v>33</v>
      </c>
      <c r="AD39" s="14">
        <v>47</v>
      </c>
      <c r="AE39" s="14">
        <v>23</v>
      </c>
      <c r="AF39" s="14">
        <v>52</v>
      </c>
      <c r="AG39" s="15">
        <f>SUM(AC39:AF39)</f>
        <v>155</v>
      </c>
      <c r="AH39" s="14">
        <v>65</v>
      </c>
      <c r="AI39" s="14">
        <v>75</v>
      </c>
      <c r="AJ39" s="14">
        <v>50</v>
      </c>
      <c r="AK39" s="14">
        <v>55</v>
      </c>
      <c r="AL39" s="15">
        <f>SUM(AH39:AK39)</f>
        <v>245</v>
      </c>
      <c r="AM39" s="17">
        <f>+D39+I39+N39+S39+X39+AC39+AH39</f>
        <v>429</v>
      </c>
      <c r="AN39" s="17">
        <f>+E39+J39+O39+T39+Y39+AD39+AI39</f>
        <v>365</v>
      </c>
      <c r="AO39" s="17">
        <f>+F39+K39+P39+U39+Z39+AE39+AJ39</f>
        <v>288</v>
      </c>
      <c r="AP39" s="17">
        <f>+G39+L39+Q39+V39+AA39+AF39+AK39</f>
        <v>453</v>
      </c>
      <c r="AQ39" s="15">
        <f>SUM(AM39:AP39)</f>
        <v>1535</v>
      </c>
      <c r="AR39" s="14">
        <f>+AM39/AX39</f>
        <v>61.285714285714285</v>
      </c>
      <c r="AS39" s="14">
        <f>+AN39/AX39</f>
        <v>52.142857142857146</v>
      </c>
      <c r="AT39" s="14">
        <f>+AO39/AX39</f>
        <v>41.142857142857146</v>
      </c>
      <c r="AU39" s="14">
        <f>+AP39/AX39</f>
        <v>64.714285714285708</v>
      </c>
      <c r="AV39" s="18">
        <f>SUM(AR39:AU39)</f>
        <v>219.28571428571428</v>
      </c>
      <c r="AW39" s="19">
        <f>COUNTIF(D39:AL39,0)/5</f>
        <v>0</v>
      </c>
      <c r="AX39" s="12">
        <f>+BA39</f>
        <v>7</v>
      </c>
      <c r="AY39" s="20">
        <f>COUNTIF(D39:AL39,"&gt;0")</f>
        <v>35</v>
      </c>
      <c r="AZ39" s="2">
        <f>+AY39/5</f>
        <v>7</v>
      </c>
      <c r="BA39" s="2">
        <f>ROUND((AZ39),0)</f>
        <v>7</v>
      </c>
    </row>
    <row r="40" spans="1:53" x14ac:dyDescent="0.3">
      <c r="A40" s="12">
        <f t="shared" si="0"/>
        <v>35</v>
      </c>
      <c r="B40" s="12">
        <v>24072037</v>
      </c>
      <c r="C40" s="13" t="s">
        <v>57</v>
      </c>
      <c r="D40" s="14">
        <v>90</v>
      </c>
      <c r="E40" s="14">
        <v>25</v>
      </c>
      <c r="F40" s="14">
        <v>55</v>
      </c>
      <c r="G40" s="14">
        <v>60</v>
      </c>
      <c r="H40" s="15">
        <f>SUM(D40:G40)</f>
        <v>230</v>
      </c>
      <c r="I40" s="14" t="s">
        <v>44</v>
      </c>
      <c r="J40" s="14" t="s">
        <v>44</v>
      </c>
      <c r="K40" s="14" t="s">
        <v>44</v>
      </c>
      <c r="L40" s="14" t="s">
        <v>44</v>
      </c>
      <c r="M40" s="15">
        <f>SUM(I40:L40)</f>
        <v>0</v>
      </c>
      <c r="N40" s="14">
        <v>80</v>
      </c>
      <c r="O40" s="14">
        <v>60</v>
      </c>
      <c r="P40" s="14">
        <v>70</v>
      </c>
      <c r="Q40" s="14">
        <v>60</v>
      </c>
      <c r="R40" s="15">
        <f>SUM(N40:Q40)</f>
        <v>270</v>
      </c>
      <c r="S40" s="16">
        <v>66</v>
      </c>
      <c r="T40" s="16">
        <v>90</v>
      </c>
      <c r="U40" s="16">
        <v>80</v>
      </c>
      <c r="V40" s="16">
        <v>90</v>
      </c>
      <c r="W40" s="15">
        <f>SUM(S40:V40)</f>
        <v>326</v>
      </c>
      <c r="X40" s="14">
        <v>80</v>
      </c>
      <c r="Y40" s="14">
        <v>95</v>
      </c>
      <c r="Z40" s="14">
        <v>80</v>
      </c>
      <c r="AA40" s="14">
        <v>95</v>
      </c>
      <c r="AB40" s="15">
        <f>SUM(X40:AA40)</f>
        <v>350</v>
      </c>
      <c r="AC40" s="14">
        <v>75</v>
      </c>
      <c r="AD40" s="14">
        <v>55</v>
      </c>
      <c r="AE40" s="14">
        <v>85</v>
      </c>
      <c r="AF40" s="14">
        <v>95</v>
      </c>
      <c r="AG40" s="15">
        <f>SUM(AC40:AF40)</f>
        <v>310</v>
      </c>
      <c r="AH40" s="14">
        <v>60</v>
      </c>
      <c r="AI40" s="14">
        <v>90</v>
      </c>
      <c r="AJ40" s="14">
        <v>75</v>
      </c>
      <c r="AK40" s="14">
        <v>65</v>
      </c>
      <c r="AL40" s="15">
        <f>SUM(AH40:AK40)</f>
        <v>290</v>
      </c>
      <c r="AM40" s="17">
        <f>+D40+I40+N40+S40+X40+AC40+AH40</f>
        <v>451</v>
      </c>
      <c r="AN40" s="17">
        <f>+E40+J40+O40+T40+Y40+AD40+AI40</f>
        <v>415</v>
      </c>
      <c r="AO40" s="17">
        <f>+F40+K40+P40+U40+Z40+AE40+AJ40</f>
        <v>445</v>
      </c>
      <c r="AP40" s="17">
        <f>+G40+L40+Q40+V40+AA40+AF40+AK40</f>
        <v>465</v>
      </c>
      <c r="AQ40" s="15">
        <f>SUM(AM40:AP40)</f>
        <v>1776</v>
      </c>
      <c r="AR40" s="14">
        <f>+AM40/AX40</f>
        <v>75.166666666666671</v>
      </c>
      <c r="AS40" s="14">
        <f>+AN40/AX40</f>
        <v>69.166666666666671</v>
      </c>
      <c r="AT40" s="14">
        <f>+AO40/AX40</f>
        <v>74.166666666666671</v>
      </c>
      <c r="AU40" s="14">
        <f>+AP40/AX40</f>
        <v>77.5</v>
      </c>
      <c r="AV40" s="18">
        <f>SUM(AR40:AU40)</f>
        <v>296</v>
      </c>
      <c r="AW40" s="19">
        <f>COUNTIF(D40:AL40,0)/5</f>
        <v>1</v>
      </c>
      <c r="AX40" s="12">
        <f>+BA40</f>
        <v>6</v>
      </c>
      <c r="AY40" s="20">
        <f>COUNTIF(D40:AL40,"&gt;0")</f>
        <v>30</v>
      </c>
      <c r="AZ40" s="2">
        <f>+AY40/5</f>
        <v>6</v>
      </c>
      <c r="BA40" s="2">
        <f>ROUND((AZ40),0)</f>
        <v>6</v>
      </c>
    </row>
  </sheetData>
  <mergeCells count="17">
    <mergeCell ref="AX4:AX5"/>
    <mergeCell ref="X4:AB4"/>
    <mergeCell ref="AC4:AG4"/>
    <mergeCell ref="AH4:AL4"/>
    <mergeCell ref="AM4:AQ4"/>
    <mergeCell ref="AR4:AV4"/>
    <mergeCell ref="AW4:AW5"/>
    <mergeCell ref="A1:AG1"/>
    <mergeCell ref="A2:AG2"/>
    <mergeCell ref="A3:AG3"/>
    <mergeCell ref="A4:A5"/>
    <mergeCell ref="B4:B5"/>
    <mergeCell ref="C4:C5"/>
    <mergeCell ref="D4:H4"/>
    <mergeCell ref="I4:M4"/>
    <mergeCell ref="N4:R4"/>
    <mergeCell ref="S4:W4"/>
  </mergeCells>
  <printOptions horizontalCentered="1"/>
  <pageMargins left="0.11811023622047245" right="0.11811023622047245" top="0.11811023622047245" bottom="0.11811023622047245" header="0.31496062992125984" footer="0.31496062992125984"/>
  <pageSetup paperSize="8" scale="112" orientation="landscape" r:id="rId1"/>
  <headerFooter>
    <oddHeader>&amp;RPage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VII SW</vt:lpstr>
      <vt:lpstr>'VII SW'!Print_Area</vt:lpstr>
      <vt:lpstr>'VII SW'!Print_Titles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BhideSir</dc:creator>
  <cp:lastModifiedBy>BhideSir</cp:lastModifiedBy>
  <cp:lastPrinted>2025-03-21T11:15:07Z</cp:lastPrinted>
  <dcterms:created xsi:type="dcterms:W3CDTF">2025-03-21T11:14:05Z</dcterms:created>
  <dcterms:modified xsi:type="dcterms:W3CDTF">2025-03-21T11:15:09Z</dcterms:modified>
</cp:coreProperties>
</file>